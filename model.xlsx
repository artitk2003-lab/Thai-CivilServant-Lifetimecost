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สมมติฐาน" sheetId="2" state="visible" r:id="rId4"/>
    <sheet name="1_ต่ำ" sheetId="3" state="visible" r:id="rId5"/>
    <sheet name="2_กลาง" sheetId="4" state="visible" r:id="rId6"/>
    <sheet name="3_สูง" sheetId="5" state="visible" r:id="rId7"/>
    <sheet name="สรุป" sheetId="6" state="visible" r:id="rId8"/>
    <sheet name="แหล่งอ้างอิง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<sst xmlns="http://schemas.openxmlformats.org/spreadsheetml/2006/main" count="413" uniqueCount="307">
  <si>
    <t xml:space="preserve">ต้นทุนที่รัฐจ่ายให้ข้าราชการ 1 คน ตลอดชีวิต — แบบจำลองเปิดสูตร</t>
  </si>
  <si>
    <t xml:space="preserve">สร้างเพื่อตรวจสอบข้ออ้าง “ข้าราชการ 1 คน รัฐจ่ายประมาณ 40 ล้านบาท” (รศ.ดร.สุนิสา ช่อแก้ว, เวทีเสวนา 4 ก.ย. 2569)</t>
  </si>
  <si>
    <t xml:space="preserve">ข้อควรรู้ก่อนอื่น: ตัวเลข 40 ล้านที่เป็นข่าว ไม่มีการเผยแพร่วิธีคำนวณ</t>
  </si>
  <si>
    <t xml:space="preserve">แหล่งข่าวระบุเพียงนิยามของก้อนเงิน — “ตั้งแต่วันแรกที่บรรจุ จนเกษียณ ได้บำนาญ ได้สวัสดิการ จนกระทั่งเสียชีวิต”</t>
  </si>
  <si>
    <t xml:space="preserve">ไม่ได้บอกตำแหน่ง ระดับ อายุราชการ อัตราเงินเฟ้อ หรือวิธีคิดมูลค่าเงิน</t>
  </si>
  <si>
    <t xml:space="preserve">แฟ้มนี้จึงเป็นการ “สร้างวิธีคำนวณขึ้นใหม่” จากกฎหมายและอัตราจริงที่ตรวจสอบได้ ไม่ใช่การถอดสูตรของอาจารย์</t>
  </si>
  <si>
    <t xml:space="preserve">โครงสร้างแฟ้ม</t>
  </si>
  <si>
    <t xml:space="preserve">สมมติฐาน</t>
  </si>
  <si>
    <t xml:space="preserve">ค่าตั้งต้นทั้งหมด แยก 3 กรณี — แก้ได้ที่ช่องพื้นเหลือง/ตัวอักษรสีฟ้าเท่านั้น</t>
  </si>
  <si>
    <t xml:space="preserve">1_ต่ำ</t>
  </si>
  <si>
    <t xml:space="preserve">ชั้นผู้น้อย ประเภททั่วไป บรรจุอายุ 22 (ปวส.) เกษียณระดับชำนาญงาน เสียชีวิตอายุ 78</t>
  </si>
  <si>
    <t xml:space="preserve">2_กลาง</t>
  </si>
  <si>
    <t xml:space="preserve">วิชาการ บรรจุอายุ 25 (ป.ตรี) เกษียณระดับชำนาญการพิเศษ มีคู่สมรส บุตร 2 บิดามารดา 2 เสียชีวิตอายุ 82</t>
  </si>
  <si>
    <t xml:space="preserve">3_สูง</t>
  </si>
  <si>
    <t xml:space="preserve">ผู้ใหญ่เทียบซี 9–10 บรรจุอายุ 24 (ป.โท) เกษียณระดับเชี่ยวชาญ/อำนวยการสูง เสียชีวิตอายุ 85</t>
  </si>
  <si>
    <t xml:space="preserve">สรุป</t>
  </si>
  <si>
    <t xml:space="preserve">เปรียบเทียบ 3 กรณี + กระทบยอดกับตัวเลข 40 ล้าน + ทดสอบความไวต่อเงินเฟ้อ + คูณ 1.7 ล้านคน</t>
  </si>
  <si>
    <t xml:space="preserve">แหล่งอ้างอิง</t>
  </si>
  <si>
    <t xml:space="preserve">ที่มาของทุกอัตราที่ใช้ พร้อมลิงก์</t>
  </si>
  <si>
    <t xml:space="preserve">สีของตัวเลข</t>
  </si>
  <si>
    <t xml:space="preserve">พื้นเหลือง + ตัวฟ้า</t>
  </si>
  <si>
    <t xml:space="preserve">ค่าที่กรอกเอง (input) — แก้ได้</t>
  </si>
  <si>
    <t xml:space="preserve">ตัวดำ</t>
  </si>
  <si>
    <t xml:space="preserve">สูตรคำนวณภายในแผ่นเดียวกัน</t>
  </si>
  <si>
    <t xml:space="preserve">ตัวเขียว</t>
  </si>
  <si>
    <t xml:space="preserve">สูตรที่ดึงค่ามาจากแผ่นอื่น</t>
  </si>
  <si>
    <t xml:space="preserve">อ่านผลลัพธ์อย่างไรไม่ให้เข้าใจผิด</t>
  </si>
  <si>
    <t xml:space="preserve">1</t>
  </si>
  <si>
    <t xml:space="preserve">ตัวเลขนี้คือผลรวมเงินสดสะสม 55–62 ปี ไม่ใช่รายจ่ายต่อปี — เอาไปเทียบกับงบประมาณปีเดียวไม่ได้</t>
  </si>
  <si>
    <t xml:space="preserve">2</t>
  </si>
  <si>
    <t xml:space="preserve">แผ่นคำนวณให้ 3 คำตอบที่ต่างกันได้เกือบเท่าตัว: (ก) ตัวเงินจริงในอนาคต (ข) ราคาปี 2569 (ค) มูลค่าปัจจุบัน</t>
  </si>
  <si>
    <t xml:space="preserve">ตัวเลข 40 ล้านจะ 'สมเหตุสมผล' หรือ 'เกินจริง' ขึ้นอยู่กับว่าใช้นิยามไหน — นี่คือประเด็นสำคัญที่สุดของแฟ้มนี้</t>
  </si>
  <si>
    <t xml:space="preserve">3</t>
  </si>
  <si>
    <t xml:space="preserve">เป็นด้านรายจ่ายล้วน ไม่ได้หักภาษีเงินได้ที่ข้าราชการจ่ายคืนรัฐ และไม่ได้ตีมูลค่าบริการสาธารณะที่ผลิตออกมา</t>
  </si>
  <si>
    <t xml:space="preserve">4</t>
  </si>
  <si>
    <t xml:space="preserve">ไม่รวมค่าสำนักงาน ครุภัณฑ์ ค่าฝึกอบรม ซึ่งเป็นต้นทุนของรัฐเช่นกัน — ตัวเลขจริงจึงสูงกว่านี้อีก</t>
  </si>
  <si>
    <t xml:space="preserve">5</t>
  </si>
  <si>
    <t xml:space="preserve">ค่าเฉลี่ยกลบความต่างมหาศาล: กรณีต่ำมีต้นทุนไม่ถึงครึ่งของกรณีสูง การพูดว่า 'เฉลี่ยคนละ 40 ล้าน' จึงบอกอะไรได้จำกัด</t>
  </si>
  <si>
    <t xml:space="preserve">สมมติฐานทั้งหมด</t>
  </si>
  <si>
    <t xml:space="preserve">ราคาทุกรายการเป็น 'ราคาปี 2569' เว้นแต่ระบุ  •  แก้เฉพาะช่องพื้นเหลือง  •  แก้แล้วต้องกด Ctrl+Shift+F9 (หรือเปิด-ปิดใหม่) ให้สูตรคำนวณใหม่</t>
  </si>
  <si>
    <t xml:space="preserve">รายการ</t>
  </si>
  <si>
    <t xml:space="preserve">ต่ำ (ผู้น้อย)</t>
  </si>
  <si>
    <t xml:space="preserve">กลาง</t>
  </si>
  <si>
    <t xml:space="preserve">สูง (ซี 9–10)</t>
  </si>
  <si>
    <t xml:space="preserve">หน่วย</t>
  </si>
  <si>
    <t xml:space="preserve">ที่มา / เหตุผล</t>
  </si>
  <si>
    <t xml:space="preserve">โครงร่างอาชีพ</t>
  </si>
  <si>
    <t xml:space="preserve">ประเภท/ระดับตอนเกษียณ</t>
  </si>
  <si>
    <t xml:space="preserve">ทั่วไป – ชำนาญงาน</t>
  </si>
  <si>
    <t xml:space="preserve">วิชาการ – ชำนาญการพิเศษ</t>
  </si>
  <si>
    <t xml:space="preserve">เชี่ยวชาญ / อำนวยการสูง</t>
  </si>
  <si>
    <t xml:space="preserve">พ.ร.บ.ระเบียบข้าราชการพลเรือน พ.ศ. 2551</t>
  </si>
  <si>
    <t xml:space="preserve">อายุแรกบรรจุ</t>
  </si>
  <si>
    <t xml:space="preserve">ปี</t>
  </si>
  <si>
    <t xml:space="preserve">ต่ำ = วุฒิ ปวส. / กลาง = ป.ตรี / สูง = ป.โท</t>
  </si>
  <si>
    <t xml:space="preserve">อายุเกษียณ</t>
  </si>
  <si>
    <t xml:space="preserve">เกษียณอายุราชการปกติ</t>
  </si>
  <si>
    <t xml:space="preserve">อายุที่เสียชีวิต</t>
  </si>
  <si>
    <t xml:space="preserve">อายุคาดเฉลี่ยของคนไทยเมื่ออายุ 60 ปี ประมาณ 80–85 ปี ผู้มีสิทธิรักษาพยาบาลดีมักสูงกว่าค่าเฉลี่ย</t>
  </si>
  <si>
    <t xml:space="preserve">อายุราชการ</t>
  </si>
  <si>
    <t xml:space="preserve">อายุเกษียณ − อายุแรกบรรจุ</t>
  </si>
  <si>
    <t xml:space="preserve">จำนวนปีรับบำนาญ</t>
  </si>
  <si>
    <t xml:space="preserve">อายุเสียชีวิต − อายุเกษียณ + 1</t>
  </si>
  <si>
    <t xml:space="preserve">เงินเดือนและเงินเพิ่ม</t>
  </si>
  <si>
    <t xml:space="preserve">เงินเดือนแรกบรรจุ</t>
  </si>
  <si>
    <t xml:space="preserve">บาท/เดือน</t>
  </si>
  <si>
    <t xml:space="preserve">อัตราแรกบรรจุ 1 พ.ค. 2568 (สำนักงาน ก.พ.): ปวส. 13,920 / ป.ตรี 18,220 / ป.โท 21,180</t>
  </si>
  <si>
    <t xml:space="preserve">เงินเดือนเดือนสุดท้ายก่อนเกษียณ</t>
  </si>
  <si>
    <t xml:space="preserve">เพดานบัญชีเงินเดือน: ชำนาญงาน 38,750 / ชำนาญการพิเศษ 58,390 / เชี่ยวชาญ 69,040 / อำนวยการสูง 76,800</t>
  </si>
  <si>
    <t xml:space="preserve">อัตราเติบโตเงินเดือนที่แท้จริง</t>
  </si>
  <si>
    <t xml:space="preserve">%/ปี</t>
  </si>
  <si>
    <t xml:space="preserve">คำนวณย้อนกลับจากเงินเดือนต้น–ปลาย ไม่รวมเงินเฟ้อ (ระบบเลื่อนขั้น 2–6%/ปี ตามผลงาน)</t>
  </si>
  <si>
    <t xml:space="preserve">เงินประจำตำแหน่ง ระยะที่ 1</t>
  </si>
  <si>
    <t xml:space="preserve">ชำนาญการ 3,500 / ชำนาญการพิเศษ 5,600 — ประเภททั่วไประดับชำนาญงานไม่มีเงินประจำตำแหน่ง</t>
  </si>
  <si>
    <t xml:space="preserve">   เริ่มปีราชการที่ (ระยะ 1)</t>
  </si>
  <si>
    <t xml:space="preserve">ปีที่</t>
  </si>
  <si>
    <t xml:space="preserve">ใส่ 999 = ไม่ได้รับ</t>
  </si>
  <si>
    <t xml:space="preserve">เงินประจำตำแหน่ง ระยะที่ 2</t>
  </si>
  <si>
    <t xml:space="preserve">กรณีสูง = เงินประจำตำแหน่ง 10,000 + ค่าตอบแทนรายเดือนอีก 10,000 (อำนวยการสูง/เชี่ยวชาญ)</t>
  </si>
  <si>
    <t xml:space="preserve">   เริ่มปีราชการที่ (ระยะ 2)</t>
  </si>
  <si>
    <t xml:space="preserve">ค่าตอบแทน/สวัสดิการอื่น</t>
  </si>
  <si>
    <t xml:space="preserve">% ของเงินเดือน</t>
  </si>
  <si>
    <t xml:space="preserve">ค่าล่วงเวลา เบี้ยประชุม ค่าเดินทางไปราชการ เครื่องแบบ ฯลฯ — ประมาณการ ไม่มีสถิติรวมเผยแพร่</t>
  </si>
  <si>
    <t xml:space="preserve">เงินสมทบ กบข. ที่รัฐจ่าย</t>
  </si>
  <si>
    <t xml:space="preserve">เงินสมทบ 3% + เงินชดเชย 2% ตาม พ.ร.บ.กองทุนบำเหน็จบำนาญข้าราชการ พ.ศ. 2539</t>
  </si>
  <si>
    <t xml:space="preserve">ค่าเช่าบ้านราชการ</t>
  </si>
  <si>
    <t xml:space="preserve">เบิกได้เฉพาะผู้ไม่มีเคหสถานของตนเองในท้องที่ที่ประจำการ</t>
  </si>
  <si>
    <t xml:space="preserve">   จำนวนปีที่เบิก</t>
  </si>
  <si>
    <t xml:space="preserve">สวัสดิการครอบครัว</t>
  </si>
  <si>
    <t xml:space="preserve">ค่าการศึกษาบุตร</t>
  </si>
  <si>
    <t xml:space="preserve">บาท/ปี/คน</t>
  </si>
  <si>
    <t xml:space="preserve">เบิกได้ไม่เกิน 3 คน จนจบปริญญาตรี อัตราขึ้นกับประเภทสถานศึกษา</t>
  </si>
  <si>
    <t xml:space="preserve">   จำนวนบุตร</t>
  </si>
  <si>
    <t xml:space="preserve">คน</t>
  </si>
  <si>
    <t xml:space="preserve">   ปีราชการที่เริ่มเบิก</t>
  </si>
  <si>
    <t xml:space="preserve">ค่ารักษาพยาบาล (สิทธิเบิกจ่ายตรง)</t>
  </si>
  <si>
    <t xml:space="preserve">ผู้ใช้สิทธิวัยไม่สูงอายุ: ตนเอง + คู่สมรส</t>
  </si>
  <si>
    <t xml:space="preserve">กรณีต่ำสมมติคู่สมรสมีสิทธิของตนเอง จึงนับเฉพาะตัวข้าราชการ</t>
  </si>
  <si>
    <t xml:space="preserve">   บุตรที่ใช้สิทธิ</t>
  </si>
  <si>
    <t xml:space="preserve">บุตรใช้สิทธิได้จนอายุ 20 ปี</t>
  </si>
  <si>
    <t xml:space="preserve">   ปีราชการที่บุตรเริ่มใช้สิทธิ</t>
  </si>
  <si>
    <t xml:space="preserve">   ปีราชการที่บุตรสิ้นสุดสิทธิ</t>
  </si>
  <si>
    <t xml:space="preserve">ผู้ใช้สิทธิสูงอายุ: บิดามารดา</t>
  </si>
  <si>
    <t xml:space="preserve">เบิกให้บิดามารดาของตนได้ (เบิกให้พ่อแม่ของคู่สมรสไม่ได้)</t>
  </si>
  <si>
    <t xml:space="preserve">   ปีราชการที่เริ่มใช้สิทธิ</t>
  </si>
  <si>
    <t xml:space="preserve">   ปีราชการที่สิ้นสุด (บิดามารดาเสียชีวิต)</t>
  </si>
  <si>
    <t xml:space="preserve">ผู้ใช้สิทธิหลังเกษียณ</t>
  </si>
  <si>
    <t xml:space="preserve">ตนเอง + คู่สมรส ใช้สิทธิต่อได้ตลอดชีวิตผู้รับบำนาญ</t>
  </si>
  <si>
    <t xml:space="preserve">ค่ารักษา/คน/ปี — วัยไม่สูงอายุ</t>
  </si>
  <si>
    <t xml:space="preserve">บาท/ปี</t>
  </si>
  <si>
    <t xml:space="preserve">สอบเทียบกับยอดเบิกจริงทั้งระบบ 1.06 แสนล้านบาท ต่อผู้มีสิทธิ ~5 ล้านคน ≈ 21,000 บาท/คน/ปี</t>
  </si>
  <si>
    <t xml:space="preserve">ค่ารักษา/คน/ปี — สูงอายุ 60 ปีขึ้นไป</t>
  </si>
  <si>
    <t xml:space="preserve">ผู้สูงอายุใช้จ่ายสูงกว่าค่าเฉลี่ยมาก จากกลุ่มโรค NCDs และค่ายา (กรมบัญชีกลาง)</t>
  </si>
  <si>
    <t xml:space="preserve">สมมติฐานร่วม (ใช้กับทั้ง 3 กรณี)</t>
  </si>
  <si>
    <t xml:space="preserve">ปีฐาน (พ.ศ.) ที่เริ่มบรรจุ</t>
  </si>
  <si>
    <t xml:space="preserve">สมมติว่าบรรจุปีนี้ เพื่อให้เห็นภาระในอนาคตของคนที่เพิ่งเข้าระบบ</t>
  </si>
  <si>
    <t xml:space="preserve">อัตราเงินเฟ้อทั่วไป</t>
  </si>
  <si>
    <t xml:space="preserve">กรอบเป้าหมายเงินเฟ้อ ธปท. 1–3% — เป็นตัวแปรที่กระทบผลลัพธ์มากที่สุด (ดูตารางความไวในแผ่นสรุป)</t>
  </si>
  <si>
    <t xml:space="preserve">ค่ารักษาพยาบาลเพิ่มขึ้นเกินเงินเฟ้อ</t>
  </si>
  <si>
    <t xml:space="preserve">งบค่ารักษาพยาบาลข้าราชการโต 57% ใน 11 ปี ≈ 4.2%/ปี (คลังสารสนเทศรัฐสภา) จึงเกินเงินเฟ้อ ~2%</t>
  </si>
  <si>
    <t xml:space="preserve">อัตราคิดลด (nominal)</t>
  </si>
  <si>
    <t xml:space="preserve">ใกล้เคียงผลตอบแทนพันธบัตรรัฐบาลระยะยาว ใช้แปลงเป็นมูลค่าปัจจุบัน</t>
  </si>
  <si>
    <t xml:space="preserve">อัตราปรับบำนาญต่อปี</t>
  </si>
  <si>
    <t xml:space="preserve">บำนาญข้าราชการไทยไม่มีกลไกปรับตามเงินเฟ้ออัตโนมัติ (ปรับเป็นครั้งคราวโดยมติ ครม.)</t>
  </si>
  <si>
    <t xml:space="preserve">เพดานบำนาญ (% ของเงินเดือนเฉลี่ย 60 เดือน)</t>
  </si>
  <si>
    <t xml:space="preserve">พ.ร.บ.กองทุนบำเหน็จบำนาญข้าราชการ พ.ศ. 2539</t>
  </si>
  <si>
    <t xml:space="preserve">ตัวหารสูตรบำนาญ</t>
  </si>
  <si>
    <t xml:space="preserve">บำนาญ = เงินเดือนเฉลี่ย 60 เดือนสุดท้าย × เวลาราชการ ÷ 50</t>
  </si>
  <si>
    <t xml:space="preserve">ช.ค.บ. — ประกันบำนาญขั้นต่ำ</t>
  </si>
  <si>
    <t xml:space="preserve">ผู้รับบำนาญที่รวม ช.ค.บ. แล้วไม่ถึง 11,000 บาท/เดือน ให้ได้รับเพิ่มจนครบ</t>
  </si>
  <si>
    <t xml:space="preserve">บำเหน็จดำรงชีพ ครั้งที่ 1 (อายุต่ำกว่า 65)</t>
  </si>
  <si>
    <t xml:space="preserve">15 เท่าของบำนาญ แต่ไม่เกิน 200,000 บาท</t>
  </si>
  <si>
    <t xml:space="preserve">บำเหน็จดำรงชีพ เพดานรวม (อายุ 65 ขึ้นไป)</t>
  </si>
  <si>
    <t xml:space="preserve">รวมทั้งหมดไม่เกิน 500,000 บาท (กฎกระทรวงกำหนดอัตราและวิธีการรับบำเหน็จดำรงชีพ พ.ศ. 2562)</t>
  </si>
  <si>
    <t xml:space="preserve">ตัวคูณบำเหน็จดำรงชีพ</t>
  </si>
  <si>
    <t xml:space="preserve">× บำนาญรายเดือน</t>
  </si>
  <si>
    <t xml:space="preserve">ตัวคูณบำเหน็จตกทอด</t>
  </si>
  <si>
    <t xml:space="preserve">(บำนาญ + ช.ค.บ.) × 30 − บำเหน็จดำรงชีพที่รับไปแล้ว จ่ายทายาทเมื่อเสียชีวิต</t>
  </si>
  <si>
    <t xml:space="preserve">ตัวคูณเงินช่วยพิเศษ (ค่าทำศพ)</t>
  </si>
  <si>
    <t xml:space="preserve">(บำนาญ + ช.ค.บ.) × 3 จ่ายทายาท</t>
  </si>
  <si>
    <t xml:space="preserve">จำนวนข้าราชการทั้งประเทศ</t>
  </si>
  <si>
    <t xml:space="preserve">สำนักงบประมาณของรัฐสภา: ประมาณ 1.73 ล้านคน (56.1% ของกำลังคนภาครัฐ ~3 ล้านคน)</t>
  </si>
  <si>
    <t xml:space="preserve">งบประมาณรายจ่ายปี 2569 (ล้านบาท)</t>
  </si>
  <si>
    <t xml:space="preserve">พ.ร.บ.งบประมาณรายจ่ายประจำปีงบประมาณ พ.ศ. 2569</t>
  </si>
  <si>
    <t xml:space="preserve">ยอดเบิกค่ารักษาพยาบาล ขรก. จริง ปี 2569 (ล้านบาท)</t>
  </si>
  <si>
    <t xml:space="preserve">กรมบัญชีกลาง (ส.ค. 2569) คาดสิ้นปีเกิน 1.1 แสนล้านบาท — ใช้สอบเทียบความสมเหตุสมผลของแบบจำลอง</t>
  </si>
  <si>
    <t xml:space="preserve">ผู้มีสิทธิรักษาพยาบาลทั้งระบบ (คน)</t>
  </si>
  <si>
    <t xml:space="preserve">ข้าราชการ + ผู้รับบำนาญ + ครอบครัว ในระบบเบิกจ่ายตรงกรมบัญชีกลาง</t>
  </si>
  <si>
    <t xml:space="preserve">กรณี ต่ำ — ข้าราชการชั้นผู้น้อย — ประเภททั่วไป เกษียณระดับชำนาญงาน</t>
  </si>
  <si>
    <t xml:space="preserve">ทุกจำนวนเงินเป็น 'ตัวเงินจริง ณ ปีนั้น' (nominal) เว้นคอลัมน์ที่ระบุไว้  •  แก้สมมติฐานได้ที่แผ่น 'สมมติฐาน' เท่านั้น  •  ตัวแปรบำนาญคำนวณไว้ทางขวามือ</t>
  </si>
  <si>
    <t xml:space="preserve">ตัวแปรบำนาญ (คำนวณจากตารางด้านล่าง)</t>
  </si>
  <si>
    <t xml:space="preserve">เงินเดือนเฉลี่ย 60 เดือนสุดท้าย</t>
  </si>
  <si>
    <t xml:space="preserve">บำนาญรายเดือน</t>
  </si>
  <si>
    <t xml:space="preserve">ช.ค.บ. รายเดือน</t>
  </si>
  <si>
    <t xml:space="preserve">บำนาญ + ช.ค.บ. รายเดือน</t>
  </si>
  <si>
    <t xml:space="preserve">บำเหน็จดำรงชีพ ครั้งที่ 1 (ปีเกษียณ)</t>
  </si>
  <si>
    <t xml:space="preserve">ปี พ.ศ.</t>
  </si>
  <si>
    <t xml:space="preserve">อายุ</t>
  </si>
  <si>
    <t xml:space="preserve">สถานะ</t>
  </si>
  <si>
    <t xml:space="preserve">ดัชนีราคา</t>
  </si>
  <si>
    <t xml:space="preserve">เงินเดือน
(บาท/เดือน)</t>
  </si>
  <si>
    <t xml:space="preserve">เงินเดือน
รายปี</t>
  </si>
  <si>
    <t xml:space="preserve">เงินประจำตำแหน่ง
+ ค่าตอบแทน</t>
  </si>
  <si>
    <t xml:space="preserve">เงินสมทบ กบข.
(รัฐจ่าย)</t>
  </si>
  <si>
    <t xml:space="preserve">ค่าเช่าบ้าน</t>
  </si>
  <si>
    <t xml:space="preserve">ค่าการศึกษา
บุตร</t>
  </si>
  <si>
    <t xml:space="preserve">ค่าตอบแทน/
สวัสดิการอื่น</t>
  </si>
  <si>
    <t xml:space="preserve">ผู้ใช้สิทธิ
ไม่สูงอายุ</t>
  </si>
  <si>
    <t xml:space="preserve">ผู้ใช้สิทธิ
สูงอายุ</t>
  </si>
  <si>
    <t xml:space="preserve">ดัชนี
ค่ารักษา</t>
  </si>
  <si>
    <t xml:space="preserve">ค่ารักษาพยาบาล</t>
  </si>
  <si>
    <t xml:space="preserve">บำนาญ + ช.ค.บ.</t>
  </si>
  <si>
    <t xml:space="preserve">เงินก้อน
(ดำรงชีพ/ตกทอด/ค่าทำศพ)</t>
  </si>
  <si>
    <t xml:space="preserve">รวมต้นทุนปีนั้น
(ตัวเงินจริง)</t>
  </si>
  <si>
    <t xml:space="preserve">รวม ณ
ราคาปี 2569</t>
  </si>
  <si>
    <t xml:space="preserve">ตัวคิดลด</t>
  </si>
  <si>
    <t xml:space="preserve">มูลค่าปัจจุบัน</t>
  </si>
  <si>
    <t xml:space="preserve">บำเหน็จดำรงชีพ รวมทั้งหมด</t>
  </si>
  <si>
    <t xml:space="preserve">บำเหน็จดำรงชีพ ครั้งที่ 2 (อายุ 65)</t>
  </si>
  <si>
    <t xml:space="preserve">บำเหน็จตกทอด (ปีเสียชีวิต)</t>
  </si>
  <si>
    <t xml:space="preserve">เงินช่วยพิเศษ ค่าทำศพ (ปีเสียชีวิต)</t>
  </si>
  <si>
    <t xml:space="preserve">รวม</t>
  </si>
  <si>
    <t xml:space="preserve">กรณี กลาง — ข้าราชการวิชาการ — เกษียณระดับชำนาญการพิเศษ มีคู่สมรส บุตร 2 บิดามารดา 2</t>
  </si>
  <si>
    <t xml:space="preserve">กรณี สูง — ข้าราชการผู้ใหญ่ เทียบซี 9–10 — เชี่ยวชาญ / อำนวยการสูง</t>
  </si>
  <si>
    <t xml:space="preserve">สรุปเปรียบเทียบ 3 กรณี และการกระทบยอดกับตัวเลข 40 ล้านบาท</t>
  </si>
  <si>
    <t xml:space="preserve">ตัวเลขทั้งหมดเป็นบาท • ตัวเขียว = ดึงมาจากแผ่นคำนวณรายปี</t>
  </si>
  <si>
    <t xml:space="preserve">หมายเหตุ</t>
  </si>
  <si>
    <t xml:space="preserve">โครงร่าง</t>
  </si>
  <si>
    <t xml:space="preserve">อายุราชการ (ปี)</t>
  </si>
  <si>
    <t xml:space="preserve">เงินเดือนสุดท้าย (ราคาปี 2569)</t>
  </si>
  <si>
    <t xml:space="preserve">บำนาญรายเดือน (ตัวเงินจริง ณ ปีเกษียณ)</t>
  </si>
  <si>
    <t xml:space="preserve">เงินเดือนเฉลี่ย 60 เดือนสุดท้าย × อายุราชการ ÷ 50 (เพดาน 70%)</t>
  </si>
  <si>
    <t xml:space="preserve">ก. ต้นทุนช่วงรับราชการ (ตัวเงินจริง)</t>
  </si>
  <si>
    <t xml:space="preserve">   เงินเดือน</t>
  </si>
  <si>
    <t xml:space="preserve">ก้อนใหญ่ที่สุด — ทบต้นด้วยการเลื่อนขั้นและเงินเฟ้อตลอด 35–38 ปี</t>
  </si>
  <si>
    <t xml:space="preserve">   เงินประจำตำแหน่ง + ค่าตอบแทน</t>
  </si>
  <si>
    <t xml:space="preserve">เฉพาะระดับชำนาญการขึ้นไป</t>
  </si>
  <si>
    <t xml:space="preserve">   เงินสมทบ กบข. ที่รัฐจ่าย</t>
  </si>
  <si>
    <t xml:space="preserve">สมทบ 3% + ชดเชย 2%</t>
  </si>
  <si>
    <t xml:space="preserve">   ค่าเช่าบ้าน</t>
  </si>
  <si>
    <t xml:space="preserve">   ค่าการศึกษาบุตร</t>
  </si>
  <si>
    <t xml:space="preserve">   ค่าตอบแทน/สวัสดิการอื่น</t>
  </si>
  <si>
    <t xml:space="preserve">ประมาณการ 3–4% ของเงินเดือน</t>
  </si>
  <si>
    <t xml:space="preserve">   ค่ารักษาพยาบาล (ช่วงรับราชการ)</t>
  </si>
  <si>
    <t xml:space="preserve">ตนเอง คู่สมรส บุตร บิดามารดา</t>
  </si>
  <si>
    <t xml:space="preserve">รวมช่วงรับราชการ</t>
  </si>
  <si>
    <t xml:space="preserve">ข. ต้นทุนช่วงหลังเกษียณ (ตัวเงินจริง)</t>
  </si>
  <si>
    <t xml:space="preserve">   บำนาญ + ช.ค.บ.</t>
  </si>
  <si>
    <t xml:space="preserve">จ่ายทุกเดือนจนเสียชีวิต ไม่มีการปรับตามเงินเฟ้ออัตโนมัติ</t>
  </si>
  <si>
    <t xml:space="preserve">   เงินก้อน: บำเหน็จดำรงชีพ / ตกทอด / ค่าทำศพ</t>
  </si>
  <si>
    <t xml:space="preserve">ดำรงชีพเป็นการจ่ายล่วงหน้าของบำเหน็จตกทอด สูตรหักกันแล้ว ไม่นับซ้ำ</t>
  </si>
  <si>
    <t xml:space="preserve">   ค่ารักษาพยาบาล (หลังเกษียณ)</t>
  </si>
  <si>
    <t xml:space="preserve">ก้อนที่โตเร็วที่สุด — ผู้สูงอายุใช้จ่ายสูงและค่ารักษาขึ้นเกินเงินเฟ้อทุกปี</t>
  </si>
  <si>
    <t xml:space="preserve">รวมช่วงหลังเกษียณ</t>
  </si>
  <si>
    <t xml:space="preserve">ค. ผลลัพธ์ — ตัวเลขเดียวกัน 3 นิยาม</t>
  </si>
  <si>
    <t xml:space="preserve">(ก) รวมตัวเงินจริงที่จ่ายจริงตลอดชีวิต (nominal)</t>
  </si>
  <si>
    <t xml:space="preserve">ผลบวกเงินสด 55–62 ปี ยังไม่ปรับเงินเฟ้อ — นิยามที่ 'ใหญ่' ที่สุด และน่าจะใกล้เคียงกับที่เป็นข่าว</t>
  </si>
  <si>
    <t xml:space="preserve">(ข) รวม ณ ราคาปี 2569 (real)</t>
  </si>
  <si>
    <t xml:space="preserve">ปรับเงินเฟ้อกลับมาเป็นกำลังซื้อวันนี้ — เทียบกับเงินเดือนวันนี้ได้ตรงกว่า</t>
  </si>
  <si>
    <t xml:space="preserve">(ค) มูลค่าปัจจุบัน คิดลดที่อัตราพันธบัตร (PV)</t>
  </si>
  <si>
    <t xml:space="preserve">จำนวนเงินที่รัฐต้องกันไว้ 'วันนี้' เพื่อจ่ายภาระทั้งหมด — นิยามที่นักการคลังใช้</t>
  </si>
  <si>
    <t xml:space="preserve">ง. กระทบยอดกับตัวเลข 40 ล้านบาท</t>
  </si>
  <si>
    <t xml:space="preserve">ตัวเลขที่เป็นข่าว</t>
  </si>
  <si>
    <t xml:space="preserve">รศ.ดร.สุนิสา ช่อแก้ว — ไม่ระบุว่าเป็นนิยามใดใน 3 ข้อข้างบน</t>
  </si>
  <si>
    <t xml:space="preserve">ส่วนต่างจากนิยาม (ก) nominal</t>
  </si>
  <si>
    <t xml:space="preserve">ส่วนต่างจากนิยาม (ข) ราคาปี 2569</t>
  </si>
  <si>
    <t xml:space="preserve">ส่วนต่างจากนิยาม (ค) PV</t>
  </si>
  <si>
    <t xml:space="preserve">ตั้งแต่บรรทัดนี้ลงไป คอลัมน์คือ 'นิยาม' ไม่ใช่ 'กรณี' →</t>
  </si>
  <si>
    <t xml:space="preserve">(ก) nominal</t>
  </si>
  <si>
    <t xml:space="preserve">(ข) ราคาปี 2569</t>
  </si>
  <si>
    <t xml:space="preserve">(ค) PV</t>
  </si>
  <si>
    <t xml:space="preserve">ค่าเฉลี่ยถ่วงน้ำหนัก 3 กรณี (ต่ำ 20% / กลาง 60% / สูง 20%)</t>
  </si>
  <si>
    <t xml:space="preserve">สมมติสัดส่วนกำลังคน: ผู้น้อย 20% ระดับกลาง 60% ผู้ใหญ่ 20% — ปรับได้ในสูตร</t>
  </si>
  <si>
    <t xml:space="preserve">จ. สอบเทียบความสมเหตุสมผล</t>
  </si>
  <si>
    <t xml:space="preserve">ค่ารักษาพยาบาลเฉลี่ยต่อผู้มีสิทธิ 1 คน/ปี (ข้อมูลจริงทั้งระบบ)</t>
  </si>
  <si>
    <t xml:space="preserve">1.06 แสนล้านบาท ÷ ผู้มีสิทธิ ~5 ล้านคน — ใช้ตรวจว่าอัตราต่อหัวในแบบจำลองไม่หลุดจากความจริง</t>
  </si>
  <si>
    <t xml:space="preserve">ค่ารักษาเฉลี่ยต่อผู้ใช้สิทธิ/ปี ในแบบจำลอง (ราคาปี 2569)</t>
  </si>
  <si>
    <t xml:space="preserve">ควรอยู่ในระดับใกล้เคียงหรือต่ำกว่าค่าจริงข้างบน มิฉะนั้นแบบจำลองจะเวอร์เกินไป</t>
  </si>
  <si>
    <t xml:space="preserve">ฉ. ขยายผลทั้งระบบ</t>
  </si>
  <si>
    <t xml:space="preserve">× ข้าราชการ 1.7 ล้านคน (ล้านล้านบาท)</t>
  </si>
  <si>
    <t xml:space="preserve">ระวัง: ข้าราชการ 1.7 ล้านคนไม่ได้เพิ่งบรรจุพร้อมกัน ภาระนี้กระจายตัวตลอด 60 ปี ไม่ใช่หนี้ที่ต้องจ่ายวันนี้</t>
  </si>
  <si>
    <t xml:space="preserve">เทียบเป็นกี่เท่าของงบประมาณรายจ่ายปี 2569</t>
  </si>
  <si>
    <t xml:space="preserve">งบปี 2569 = 3.78 ล้านล้านบาท</t>
  </si>
  <si>
    <t xml:space="preserve">หารเฉลี่ยเป็นรายจ่ายต่อปี (แบ่ง 60 ปี, ล้านล้านบาท/ปี)</t>
  </si>
  <si>
    <t xml:space="preserve">เทียบกับรายจ่ายบุคลากรจริง ~1.4 ล้านล้านบาท/ปี (งบบุคลากร 852,671 ลบ. + งบกลางที่เกี่ยวข้อง 572,620 ลบ. ปี 2570) ซึ่งครอบคลุมกำลังคนภาครัฐ ~3 ล้านคน ไม่ใช่แค่ข้าราชการ 1.7 ล้านคน จึงสูงกว่าแบบจำลองเป็นปกติ</t>
  </si>
  <si>
    <t xml:space="preserve">ช. ความไวต่ออัตราเงินเฟ้อ (ค่าเฉลี่ยถ่วงน้ำหนัก 3 กรณี)</t>
  </si>
  <si>
    <t xml:space="preserve">เปลี่ยนอัตราเงินเฟ้อที่แผ่นสมมติฐาน แล้วดูผลที่เปลี่ยนไป — ค่าด้านล่างคำนวณไว้ล่วงหน้าโดยคงสมมติฐานอื่นเดิม</t>
  </si>
  <si>
    <t xml:space="preserve">อัตราเงินเฟ้อ</t>
  </si>
  <si>
    <t xml:space="preserve">ค่าที่ใช้อยู่ปัจจุบัน 2.0% (แถบเหลือง) — ตัวเลขในตารางนี้เป็นค่าคงที่ที่คำนวณไว้ล่วงหน้า ต้องอัปเดตเองหากแก้สมมติฐานอื่น</t>
  </si>
  <si>
    <t xml:space="preserve">ข้อสรุปสำคัญ</t>
  </si>
  <si>
    <t xml:space="preserve">• ที่เงินเฟ้อ 0% (คือคิดทุกอย่างเป็นราคาปี 2569) ต้นทุนเฉลี่ยตลอดชีวิตอยู่ที่ราว 34 ล้านบาท</t>
  </si>
  <si>
    <t xml:space="preserve">• ที่เงินเฟ้อ 2% ตัวเลข 'ตัวเงินจริง' พุ่งเป็นราว 59 ล้านบาท ทั้งที่ของจริงที่รัฐให้เท่าเดิม</t>
  </si>
  <si>
    <t xml:space="preserve">• ตัวเลข 40 ล้านบาทตรงกับกรณี nominal ที่เงินเฟ้อประมาณ 0.6% เท่านั้น — ต่ำกว่าเงินเฟ้อจริงมาก</t>
  </si>
  <si>
    <t xml:space="preserve">• แปลว่า 40 ล้านน่าจะเป็นตัวเลข 'ราคาปัจจุบันโดยประมาณ' มากกว่าจะเป็นเงินสดที่จ่ายจริงในอนาคต</t>
  </si>
  <si>
    <t xml:space="preserve">• ถ้าตีความว่าเป็นเงินสดสะสมจริง ตัวเลขที่ควรพูดถึงคือ 55–60 ล้าน ไม่ใช่ 40 ล้าน</t>
  </si>
  <si>
    <t xml:space="preserve">• ถ้าตีความแบบมูลค่าปัจจุบัน (วิธีที่นักการคลังใช้) ตัวเลขจะเหลือราว 19 ล้านบาท</t>
  </si>
  <si>
    <t xml:space="preserve">ข้อมูลที่ใช้</t>
  </si>
  <si>
    <t xml:space="preserve">ค่า/สาระสำคัญ</t>
  </si>
  <si>
    <t xml:space="preserve">แหล่งที่มา</t>
  </si>
  <si>
    <t xml:space="preserve">ลิงก์</t>
  </si>
  <si>
    <t xml:space="preserve">ข้ออ้าง 40 ล้านบาท/คน</t>
  </si>
  <si>
    <t xml:space="preserve">ตั้งแต่บรรจุ–เกษียณ–บำนาญ–สวัสดิการ จนเสียชีวิต; ไม่เผยแพร่วิธีคำนวณ</t>
  </si>
  <si>
    <t xml:space="preserve">ประชาชาติธุรกิจ / มติชน 4 ก.ย. 2569 — เสวนา 'ปฏิรูปข้าราชการ Firming Thailand?' ธรรมศาสตร์</t>
  </si>
  <si>
    <t xml:space="preserve">https://www.prachachat.net/politics/news-2062371</t>
  </si>
  <si>
    <t xml:space="preserve">จำนวนข้าราชการ</t>
  </si>
  <si>
    <t xml:space="preserve">กำลังคนภาครัฐ ~3 ล้านคน เป็นข้าราชการ ~1.73 ล้านคน (56.1%)</t>
  </si>
  <si>
    <t xml:space="preserve">สำนักงบประมาณของรัฐสภา (PBO) — วิเคราะห์ร่าง พ.ร.บ.งบประมาณ 2570</t>
  </si>
  <si>
    <t xml:space="preserve">https://web.parliament.go.th/assets/portals/82/news/1713/1_1713.pdf</t>
  </si>
  <si>
    <t xml:space="preserve">งบประมาณปี 2569</t>
  </si>
  <si>
    <t xml:space="preserve">3,780,600 ล้านบาท</t>
  </si>
  <si>
    <t xml:space="preserve">พ.ร.บ.งบประมาณรายจ่ายประจำปี 2569</t>
  </si>
  <si>
    <t xml:space="preserve">https://www.prd.go.th/th/content/category/detail/id/39/iid/390710</t>
  </si>
  <si>
    <t xml:space="preserve">รายจ่ายบุคลากร</t>
  </si>
  <si>
    <t xml:space="preserve">งบบุคลากรโดยตรง 852,671 ลบ. (22.5%) + งบกลางที่เกี่ยวกับ ขรก. อีก 572,620 ลบ. (ปี 2570)</t>
  </si>
  <si>
    <t xml:space="preserve">The Momentum อ้างเอกสารงบประมาณ</t>
  </si>
  <si>
    <t xml:space="preserve">https://themomentum.co/feature-civil-medical-welfare/</t>
  </si>
  <si>
    <t xml:space="preserve">ค่ารักษาพยาบาลข้าราชการ</t>
  </si>
  <si>
    <t xml:space="preserve">ปี 2569 ยอดเบิก 1.06 แสนล้านบาท คาดสิ้นปีเกิน 1.1 แสนล้าน; ผู้มีสิทธิ ~5 ล้านคน</t>
  </si>
  <si>
    <t xml:space="preserve">กรมบัญชีกลาง (ส.ค. 2569) ผ่าน Hfocus</t>
  </si>
  <si>
    <t xml:space="preserve">https://www.hfocus.org/content/2026/08/39274</t>
  </si>
  <si>
    <t xml:space="preserve">อัตราการเติบโตค่ารักษาพยาบาล</t>
  </si>
  <si>
    <t xml:space="preserve">จาก 6 หมื่นล้าน (2560) เป็น 9.42 หมื่นล้าน (2569–2570) เพิ่ม 57% ใน 11 ปี</t>
  </si>
  <si>
    <t xml:space="preserve">คลังสารสนเทศรัฐสภา ผ่าน The Momentum</t>
  </si>
  <si>
    <t xml:space="preserve">อัตราเงินเดือนแรกบรรจุ</t>
  </si>
  <si>
    <t xml:space="preserve">ปวส. 13,920 / ป.ตรี 18,220 / ป.โท 21,180 (มีผล 1 พ.ค. 2568)</t>
  </si>
  <si>
    <t xml:space="preserve">มติ ครม. 29 ก.พ. 2567 ตามข้อเสนอสำนักงาน ก.พ.</t>
  </si>
  <si>
    <t xml:space="preserve">https://www.ocsc.go.th</t>
  </si>
  <si>
    <t xml:space="preserve">บัญชีเงินเดือนขั้นสูง</t>
  </si>
  <si>
    <t xml:space="preserve">ชำนาญงาน 38,750 / ชำนาญการพิเศษ 58,390 / เชี่ยวชาญ 69,040 / อำนวยการสูง 76,800 / บริหารสูง 76,800</t>
  </si>
  <si>
    <t xml:space="preserve">พ.ร.บ.ระเบียบข้าราชการพลเรือน (ฉบับที่ 2) พ.ศ. 2558</t>
  </si>
  <si>
    <t xml:space="preserve">สูตรบำนาญ</t>
  </si>
  <si>
    <t xml:space="preserve">เงินเดือนเฉลี่ย 60 เดือนสุดท้าย × เวลาราชการ ÷ 50 เพดาน 70%</t>
  </si>
  <si>
    <t xml:space="preserve">https://www.cgd.go.th</t>
  </si>
  <si>
    <t xml:space="preserve">บำเหน็จดำรงชีพ</t>
  </si>
  <si>
    <t xml:space="preserve">15 เท่าของบำนาญ ไม่เกิน 200,000 บาท (อายุ&lt;65) และรวมไม่เกิน 500,000 บาท (อายุ 65+)</t>
  </si>
  <si>
    <t xml:space="preserve">กฎกระทรวงกำหนดอัตราและวิธีการรับบำเหน็จดำรงชีพ พ.ศ. 2562</t>
  </si>
  <si>
    <t xml:space="preserve">บำเหน็จตกทอด / เงินช่วยพิเศษ</t>
  </si>
  <si>
    <t xml:space="preserve">(บำนาญ + ช.ค.บ.) × 30 หักบำเหน็จดำรงชีพที่รับไปแล้ว; ค่าทำศพ 3 เท่า</t>
  </si>
  <si>
    <t xml:space="preserve">กรมบัญชีกลาง — คู่มือสิทธิประโยชน์กรณีเกษียณ/เสียชีวิต</t>
  </si>
  <si>
    <t xml:space="preserve">https://newperson.doae.go.th/wp-content/uploads/2025/10/formula04.pdf</t>
  </si>
  <si>
    <t xml:space="preserve">เงินสมทบ กบข.</t>
  </si>
  <si>
    <t xml:space="preserve">รัฐจ่ายเงินสมทบ 3% + เงินชดเชย 2% ของเงินเดือน</t>
  </si>
  <si>
    <t xml:space="preserve">พ.ร.บ.กบข. 2539 / กบข.</t>
  </si>
  <si>
    <t xml:space="preserve">https://www.gpf.or.th</t>
  </si>
  <si>
    <t xml:space="preserve">ค่ารักษา/ค่าเช่าบ้าน/ค่าการศึกษาบุตร ต่อหัว</t>
  </si>
  <si>
    <t xml:space="preserve">ประมาณการของผู้จัดทำแบบจำลอง ไม่ใช่สถิติทางการ</t>
  </si>
  <si>
    <t xml:space="preserve">ผู้จัดทำ — ปรับได้ที่แผ่นสมมติฐาน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</si>
</sst>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"/>
    <numFmt numFmtId="168" formatCode="0.000"/>
    <numFmt numFmtId="169" formatCode="#,##0.00"/>
    <numFmt numFmtId="170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color rgb="FF008000"/>
      <name val="Tahoma"/>
      <family val="0"/>
      <charset val="1"/>
    </font>
    <font>
      <u val="single"/>
      <sz val="9"/>
      <color rgb="FF0563C1"/>
      <name val="Taho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7F9FC"/>
        <bgColor rgb="FFFFFFFF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prachachat.net/politics/news-2062371" TargetMode="External"/><Relationship Id="rId2" Type="http://schemas.openxmlformats.org/officeDocument/2006/relationships/hyperlink" Target="https://web.parliament.go.th/assets/portals/82/news/1713/1_1713.pdf" TargetMode="External"/><Relationship Id="rId3" Type="http://schemas.openxmlformats.org/officeDocument/2006/relationships/hyperlink" Target="https://www.prd.go.th/th/content/category/detail/id/39/iid/390710" TargetMode="External"/><Relationship Id="rId4" Type="http://schemas.openxmlformats.org/officeDocument/2006/relationships/hyperlink" Target="https://themomentum.co/feature-civil-medical-welfare/" TargetMode="External"/><Relationship Id="rId5" Type="http://schemas.openxmlformats.org/officeDocument/2006/relationships/hyperlink" Target="https://www.hfocus.org/content/2026/08/39274" TargetMode="External"/><Relationship Id="rId6" Type="http://schemas.openxmlformats.org/officeDocument/2006/relationships/hyperlink" Target="https://themomentum.co/feature-civil-medical-welfare/" TargetMode="External"/><Relationship Id="rId7" Type="http://schemas.openxmlformats.org/officeDocument/2006/relationships/hyperlink" Target="https://www.ocsc.go.th/" TargetMode="External"/><Relationship Id="rId8" Type="http://schemas.openxmlformats.org/officeDocument/2006/relationships/hyperlink" Target="https://www.ocsc.go.th/" TargetMode="External"/><Relationship Id="rId9" Type="http://schemas.openxmlformats.org/officeDocument/2006/relationships/hyperlink" Target="https://www.cgd.go.th/" TargetMode="External"/><Relationship Id="rId10" Type="http://schemas.openxmlformats.org/officeDocument/2006/relationships/hyperlink" Target="https://www.cgd.go.th/" TargetMode="External"/><Relationship Id="rId11" Type="http://schemas.openxmlformats.org/officeDocument/2006/relationships/hyperlink" Target="https://newperson.doae.go.th/wp-content/uploads/2025/10/formula04.pdf" TargetMode="External"/><Relationship Id="rId12" Type="http://schemas.openxmlformats.org/officeDocument/2006/relationships/hyperlink" Target="https://www.gpf.or.th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</row>
    <row r="4" customFormat="false" ht="12" hidden="false" customHeight="true" outlineLevel="0" collapsed="false">
      <c r="A4" s="5" t="s">
        <v>2</v>
      </c>
      <c r="B4" s="5"/>
    </row>
    <row r="5" customFormat="false" ht="15" hidden="false" customHeight="true" outlineLevel="0" collapsed="false">
      <c r="A5" s="4" t="s">
        <v>3</v>
      </c>
      <c r="B5" s="4"/>
    </row>
    <row r="6" customFormat="false" ht="15" hidden="false" customHeight="true" outlineLevel="0" collapsed="false">
      <c r="A6" s="4" t="s">
        <v>4</v>
      </c>
      <c r="B6" s="4"/>
    </row>
    <row r="7" customFormat="false" ht="15" hidden="false" customHeight="true" outlineLevel="0" collapsed="false">
      <c r="A7" s="4" t="s">
        <v>5</v>
      </c>
      <c r="B7" s="4"/>
    </row>
    <row r="8" customFormat="false" ht="15" hidden="false" customHeight="true" outlineLevel="0" collapsed="false">
      <c r="A8" s="4"/>
      <c r="B8" s="4"/>
    </row>
    <row r="9" customFormat="false" ht="15" hidden="false" customHeight="true" outlineLevel="0" collapsed="false">
      <c r="A9" s="5" t="s">
        <v>6</v>
      </c>
      <c r="B9" s="5"/>
    </row>
    <row r="10" customFormat="false" ht="15" hidden="false" customHeight="true" outlineLevel="0" collapsed="false">
      <c r="A10" s="6" t="s">
        <v>7</v>
      </c>
      <c r="B10" s="7" t="s">
        <v>8</v>
      </c>
    </row>
    <row r="11" customFormat="false" ht="12" hidden="false" customHeight="true" outlineLevel="0" collapsed="false">
      <c r="A11" s="6" t="s">
        <v>9</v>
      </c>
      <c r="B11" s="7" t="s">
        <v>10</v>
      </c>
    </row>
    <row r="12" customFormat="false" ht="12" hidden="false" customHeight="true" outlineLevel="0" collapsed="false">
      <c r="A12" s="6" t="s">
        <v>11</v>
      </c>
      <c r="B12" s="7" t="s">
        <v>12</v>
      </c>
    </row>
    <row r="13" customFormat="false" ht="12" hidden="false" customHeight="true" outlineLevel="0" collapsed="false">
      <c r="A13" s="6" t="s">
        <v>13</v>
      </c>
      <c r="B13" s="7" t="s">
        <v>14</v>
      </c>
    </row>
    <row r="14" customFormat="false" ht="15" hidden="false" customHeight="true" outlineLevel="0" collapsed="false">
      <c r="A14" s="6" t="s">
        <v>15</v>
      </c>
      <c r="B14" s="7" t="s">
        <v>16</v>
      </c>
    </row>
    <row r="15" customFormat="false" ht="15" hidden="false" customHeight="true" outlineLevel="0" collapsed="false">
      <c r="A15" s="6" t="s">
        <v>17</v>
      </c>
      <c r="B15" s="7" t="s">
        <v>18</v>
      </c>
    </row>
    <row r="16" customFormat="false" ht="15" hidden="false" customHeight="true" outlineLevel="0" collapsed="false">
      <c r="A16" s="4"/>
      <c r="B16" s="4"/>
    </row>
    <row r="17" customFormat="false" ht="15" hidden="false" customHeight="true" outlineLevel="0" collapsed="false">
      <c r="A17" s="5" t="s">
        <v>19</v>
      </c>
      <c r="B17" s="5"/>
    </row>
    <row r="18" customFormat="false" ht="12" hidden="false" customHeight="true" outlineLevel="0" collapsed="false">
      <c r="A18" s="6" t="s">
        <v>20</v>
      </c>
      <c r="B18" s="7" t="s">
        <v>21</v>
      </c>
    </row>
    <row r="19" customFormat="false" ht="15" hidden="false" customHeight="true" outlineLevel="0" collapsed="false">
      <c r="A19" s="6" t="s">
        <v>22</v>
      </c>
      <c r="B19" s="7" t="s">
        <v>23</v>
      </c>
    </row>
    <row r="20" customFormat="false" ht="15" hidden="false" customHeight="true" outlineLevel="0" collapsed="false">
      <c r="A20" s="6" t="s">
        <v>24</v>
      </c>
      <c r="B20" s="7" t="s">
        <v>25</v>
      </c>
    </row>
    <row r="21" customFormat="false" ht="15" hidden="false" customHeight="true" outlineLevel="0" collapsed="false">
      <c r="A21" s="4"/>
      <c r="B21" s="4"/>
    </row>
    <row r="22" customFormat="false" ht="15" hidden="false" customHeight="true" outlineLevel="0" collapsed="false">
      <c r="A22" s="5" t="s">
        <v>26</v>
      </c>
      <c r="B22" s="5"/>
    </row>
    <row r="23" customFormat="false" ht="15" hidden="false" customHeight="true" outlineLevel="0" collapsed="false">
      <c r="A23" s="6" t="s">
        <v>27</v>
      </c>
      <c r="B23" s="7" t="s">
        <v>28</v>
      </c>
    </row>
    <row r="24" customFormat="false" ht="15" hidden="false" customHeight="true" outlineLevel="0" collapsed="false">
      <c r="A24" s="6" t="s">
        <v>29</v>
      </c>
      <c r="B24" s="7" t="s">
        <v>30</v>
      </c>
    </row>
    <row r="25" customFormat="false" ht="15" hidden="false" customHeight="true" outlineLevel="0" collapsed="false">
      <c r="A25" s="6"/>
      <c r="B25" s="7" t="s">
        <v>31</v>
      </c>
    </row>
    <row r="26" customFormat="false" ht="15" hidden="false" customHeight="true" outlineLevel="0" collapsed="false">
      <c r="A26" s="6" t="s">
        <v>32</v>
      </c>
      <c r="B26" s="7" t="s">
        <v>33</v>
      </c>
    </row>
    <row r="27" customFormat="false" ht="15" hidden="false" customHeight="true" outlineLevel="0" collapsed="false">
      <c r="A27" s="6" t="s">
        <v>34</v>
      </c>
      <c r="B27" s="7" t="s">
        <v>35</v>
      </c>
    </row>
    <row r="28" customFormat="false" ht="15" hidden="false" customHeight="true" outlineLevel="0" collapsed="false">
      <c r="A28" s="6" t="s">
        <v>36</v>
      </c>
      <c r="B28" s="7" t="s">
        <v>37</v>
      </c>
    </row>
  </sheetData>
  <mergeCells count="11">
    <mergeCell ref="A3:B3"/>
    <mergeCell ref="A4:B4"/>
    <mergeCell ref="A5:B5"/>
    <mergeCell ref="A6:B6"/>
    <mergeCell ref="A7:B7"/>
    <mergeCell ref="A8:B8"/>
    <mergeCell ref="A9:B9"/>
    <mergeCell ref="A16:B16"/>
    <mergeCell ref="A17:B17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8"/>
    <col collapsed="false" customWidth="true" hidden="false" outlineLevel="0" max="5" min="5" style="1" width="16"/>
    <col collapsed="false" customWidth="true" hidden="false" outlineLevel="0" max="6" min="6" style="1" width="82"/>
  </cols>
  <sheetData>
    <row r="1" customFormat="false" ht="15.75" hidden="false" customHeight="true" outlineLevel="0" collapsed="false">
      <c r="A1" s="2" t="s">
        <v>38</v>
      </c>
    </row>
    <row r="2" customFormat="false" ht="15" hidden="false" customHeight="true" outlineLevel="0" collapsed="false">
      <c r="A2" s="3" t="s">
        <v>39</v>
      </c>
    </row>
    <row r="4" customFormat="false" ht="15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customFormat="false" ht="15" hidden="false" customHeight="true" outlineLevel="0" collapsed="false">
      <c r="A5" s="9" t="s">
        <v>46</v>
      </c>
      <c r="B5" s="10"/>
      <c r="C5" s="10"/>
      <c r="D5" s="10"/>
      <c r="E5" s="10"/>
      <c r="F5" s="10"/>
    </row>
    <row r="6" customFormat="false" ht="20.25" hidden="false" customHeight="true" outlineLevel="0" collapsed="false">
      <c r="A6" s="7" t="s">
        <v>47</v>
      </c>
      <c r="B6" s="11" t="s">
        <v>48</v>
      </c>
      <c r="C6" s="11" t="s">
        <v>49</v>
      </c>
      <c r="D6" s="11" t="s">
        <v>50</v>
      </c>
      <c r="E6" s="3"/>
      <c r="F6" s="12" t="s">
        <v>51</v>
      </c>
    </row>
    <row r="7" customFormat="false" ht="15" hidden="false" customHeight="true" outlineLevel="0" collapsed="false">
      <c r="A7" s="7" t="s">
        <v>52</v>
      </c>
      <c r="B7" s="13" t="n">
        <v>22</v>
      </c>
      <c r="C7" s="13" t="n">
        <v>25</v>
      </c>
      <c r="D7" s="13" t="n">
        <v>24</v>
      </c>
      <c r="E7" s="3" t="s">
        <v>53</v>
      </c>
      <c r="F7" s="12" t="s">
        <v>54</v>
      </c>
    </row>
    <row r="8" customFormat="false" ht="15" hidden="false" customHeight="true" outlineLevel="0" collapsed="false">
      <c r="A8" s="7" t="s">
        <v>55</v>
      </c>
      <c r="B8" s="13" t="n">
        <v>60</v>
      </c>
      <c r="C8" s="13" t="n">
        <v>60</v>
      </c>
      <c r="D8" s="13" t="n">
        <v>60</v>
      </c>
      <c r="E8" s="3" t="s">
        <v>53</v>
      </c>
      <c r="F8" s="12" t="s">
        <v>56</v>
      </c>
    </row>
    <row r="9" customFormat="false" ht="15" hidden="false" customHeight="true" outlineLevel="0" collapsed="false">
      <c r="A9" s="7" t="s">
        <v>57</v>
      </c>
      <c r="B9" s="13" t="n">
        <v>78</v>
      </c>
      <c r="C9" s="13" t="n">
        <v>82</v>
      </c>
      <c r="D9" s="13" t="n">
        <v>85</v>
      </c>
      <c r="E9" s="3" t="s">
        <v>53</v>
      </c>
      <c r="F9" s="12" t="s">
        <v>58</v>
      </c>
    </row>
    <row r="10" customFormat="false" ht="15" hidden="false" customHeight="true" outlineLevel="0" collapsed="false">
      <c r="A10" s="7" t="s">
        <v>59</v>
      </c>
      <c r="B10" s="14" t="n">
        <f aca="false">B8-B7</f>
        <v>38</v>
      </c>
      <c r="C10" s="14" t="n">
        <f aca="false">C8-C7</f>
        <v>35</v>
      </c>
      <c r="D10" s="14" t="n">
        <f aca="false">D8-D7</f>
        <v>36</v>
      </c>
      <c r="E10" s="3" t="s">
        <v>53</v>
      </c>
      <c r="F10" s="12" t="s">
        <v>60</v>
      </c>
    </row>
    <row r="11" customFormat="false" ht="15" hidden="false" customHeight="true" outlineLevel="0" collapsed="false">
      <c r="A11" s="7" t="s">
        <v>61</v>
      </c>
      <c r="B11" s="14" t="n">
        <f aca="false">B9-B8+1</f>
        <v>19</v>
      </c>
      <c r="C11" s="14" t="n">
        <f aca="false">C9-C8+1</f>
        <v>23</v>
      </c>
      <c r="D11" s="14" t="n">
        <f aca="false">D9-D8+1</f>
        <v>26</v>
      </c>
      <c r="E11" s="3" t="s">
        <v>53</v>
      </c>
      <c r="F11" s="12" t="s">
        <v>62</v>
      </c>
    </row>
    <row r="12" customFormat="false" ht="15" hidden="false" customHeight="true" outlineLevel="0" collapsed="false">
      <c r="A12" s="9" t="s">
        <v>63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7" t="s">
        <v>64</v>
      </c>
      <c r="B13" s="13" t="n">
        <v>13920</v>
      </c>
      <c r="C13" s="13" t="n">
        <v>18220</v>
      </c>
      <c r="D13" s="13" t="n">
        <v>21180</v>
      </c>
      <c r="E13" s="3" t="s">
        <v>65</v>
      </c>
      <c r="F13" s="12" t="s">
        <v>66</v>
      </c>
    </row>
    <row r="14" customFormat="false" ht="15" hidden="false" customHeight="true" outlineLevel="0" collapsed="false">
      <c r="A14" s="7" t="s">
        <v>67</v>
      </c>
      <c r="B14" s="13" t="n">
        <v>36000</v>
      </c>
      <c r="C14" s="13" t="n">
        <v>52000</v>
      </c>
      <c r="D14" s="13" t="n">
        <v>74000</v>
      </c>
      <c r="E14" s="3" t="s">
        <v>65</v>
      </c>
      <c r="F14" s="12" t="s">
        <v>68</v>
      </c>
    </row>
    <row r="15" customFormat="false" ht="15" hidden="false" customHeight="true" outlineLevel="0" collapsed="false">
      <c r="A15" s="7" t="s">
        <v>69</v>
      </c>
      <c r="B15" s="15" t="n">
        <f aca="false">(B14/B13)^(1/(B10-1))-1</f>
        <v>0.026013467138454</v>
      </c>
      <c r="C15" s="15" t="n">
        <f aca="false">(C14/C13)^(1/(C10-1))-1</f>
        <v>0.0313254487696526</v>
      </c>
      <c r="D15" s="15" t="n">
        <f aca="false">(D14/D13)^(1/(D10-1))-1</f>
        <v>0.0363895416908362</v>
      </c>
      <c r="E15" s="3" t="s">
        <v>70</v>
      </c>
      <c r="F15" s="12" t="s">
        <v>71</v>
      </c>
    </row>
    <row r="16" customFormat="false" ht="15" hidden="false" customHeight="true" outlineLevel="0" collapsed="false">
      <c r="A16" s="7" t="s">
        <v>72</v>
      </c>
      <c r="B16" s="13" t="n">
        <v>0</v>
      </c>
      <c r="C16" s="13" t="n">
        <v>3500</v>
      </c>
      <c r="D16" s="13" t="n">
        <v>5600</v>
      </c>
      <c r="E16" s="3" t="s">
        <v>65</v>
      </c>
      <c r="F16" s="12" t="s">
        <v>73</v>
      </c>
    </row>
    <row r="17" customFormat="false" ht="15" hidden="false" customHeight="true" outlineLevel="0" collapsed="false">
      <c r="A17" s="7" t="s">
        <v>74</v>
      </c>
      <c r="B17" s="13" t="n">
        <v>999</v>
      </c>
      <c r="C17" s="13" t="n">
        <v>8</v>
      </c>
      <c r="D17" s="13" t="n">
        <v>12</v>
      </c>
      <c r="E17" s="3" t="s">
        <v>75</v>
      </c>
      <c r="F17" s="12" t="s">
        <v>76</v>
      </c>
    </row>
    <row r="18" customFormat="false" ht="15" hidden="false" customHeight="true" outlineLevel="0" collapsed="false">
      <c r="A18" s="7" t="s">
        <v>77</v>
      </c>
      <c r="B18" s="13" t="n">
        <v>0</v>
      </c>
      <c r="C18" s="13" t="n">
        <v>5600</v>
      </c>
      <c r="D18" s="13" t="n">
        <v>20000</v>
      </c>
      <c r="E18" s="3" t="s">
        <v>65</v>
      </c>
      <c r="F18" s="12" t="s">
        <v>78</v>
      </c>
    </row>
    <row r="19" customFormat="false" ht="15" hidden="false" customHeight="true" outlineLevel="0" collapsed="false">
      <c r="A19" s="7" t="s">
        <v>79</v>
      </c>
      <c r="B19" s="13" t="n">
        <v>999</v>
      </c>
      <c r="C19" s="13" t="n">
        <v>20</v>
      </c>
      <c r="D19" s="13" t="n">
        <v>24</v>
      </c>
      <c r="E19" s="3" t="s">
        <v>75</v>
      </c>
      <c r="F19" s="12"/>
    </row>
    <row r="20" customFormat="false" ht="15" hidden="false" customHeight="true" outlineLevel="0" collapsed="false">
      <c r="A20" s="7" t="s">
        <v>80</v>
      </c>
      <c r="B20" s="16" t="n">
        <v>0.03</v>
      </c>
      <c r="C20" s="16" t="n">
        <v>0.03</v>
      </c>
      <c r="D20" s="16" t="n">
        <v>0.04</v>
      </c>
      <c r="E20" s="3" t="s">
        <v>81</v>
      </c>
      <c r="F20" s="12" t="s">
        <v>82</v>
      </c>
    </row>
    <row r="21" customFormat="false" ht="15" hidden="false" customHeight="true" outlineLevel="0" collapsed="false">
      <c r="A21" s="7" t="s">
        <v>83</v>
      </c>
      <c r="B21" s="16" t="n">
        <v>0.05</v>
      </c>
      <c r="C21" s="16" t="n">
        <v>0.05</v>
      </c>
      <c r="D21" s="16" t="n">
        <v>0.05</v>
      </c>
      <c r="E21" s="3" t="s">
        <v>81</v>
      </c>
      <c r="F21" s="12" t="s">
        <v>84</v>
      </c>
    </row>
    <row r="22" customFormat="false" ht="15" hidden="false" customHeight="true" outlineLevel="0" collapsed="false">
      <c r="A22" s="7" t="s">
        <v>85</v>
      </c>
      <c r="B22" s="13" t="n">
        <v>0</v>
      </c>
      <c r="C22" s="13" t="n">
        <v>4000</v>
      </c>
      <c r="D22" s="13" t="n">
        <v>5000</v>
      </c>
      <c r="E22" s="3" t="s">
        <v>65</v>
      </c>
      <c r="F22" s="12" t="s">
        <v>86</v>
      </c>
    </row>
    <row r="23" customFormat="false" ht="15" hidden="false" customHeight="true" outlineLevel="0" collapsed="false">
      <c r="A23" s="7" t="s">
        <v>87</v>
      </c>
      <c r="B23" s="13" t="n">
        <v>0</v>
      </c>
      <c r="C23" s="13" t="n">
        <v>10</v>
      </c>
      <c r="D23" s="13" t="n">
        <v>12</v>
      </c>
      <c r="E23" s="3" t="s">
        <v>53</v>
      </c>
      <c r="F23" s="12"/>
    </row>
    <row r="24" customFormat="false" ht="15" hidden="false" customHeight="true" outlineLevel="0" collapsed="false">
      <c r="A24" s="9" t="s">
        <v>88</v>
      </c>
      <c r="B24" s="10"/>
      <c r="C24" s="10"/>
      <c r="D24" s="10"/>
      <c r="E24" s="10"/>
      <c r="F24" s="10"/>
    </row>
    <row r="25" customFormat="false" ht="15" hidden="false" customHeight="true" outlineLevel="0" collapsed="false">
      <c r="A25" s="7" t="s">
        <v>89</v>
      </c>
      <c r="B25" s="13" t="n">
        <v>12000</v>
      </c>
      <c r="C25" s="13" t="n">
        <v>25000</v>
      </c>
      <c r="D25" s="13" t="n">
        <v>25000</v>
      </c>
      <c r="E25" s="3" t="s">
        <v>90</v>
      </c>
      <c r="F25" s="12" t="s">
        <v>91</v>
      </c>
    </row>
    <row r="26" customFormat="false" ht="15" hidden="false" customHeight="true" outlineLevel="0" collapsed="false">
      <c r="A26" s="7" t="s">
        <v>92</v>
      </c>
      <c r="B26" s="13" t="n">
        <v>1</v>
      </c>
      <c r="C26" s="13" t="n">
        <v>2</v>
      </c>
      <c r="D26" s="13" t="n">
        <v>2</v>
      </c>
      <c r="E26" s="3" t="s">
        <v>93</v>
      </c>
      <c r="F26" s="12"/>
    </row>
    <row r="27" customFormat="false" ht="15" hidden="false" customHeight="true" outlineLevel="0" collapsed="false">
      <c r="A27" s="7" t="s">
        <v>94</v>
      </c>
      <c r="B27" s="13" t="n">
        <v>10</v>
      </c>
      <c r="C27" s="13" t="n">
        <v>8</v>
      </c>
      <c r="D27" s="13" t="n">
        <v>8</v>
      </c>
      <c r="E27" s="3" t="s">
        <v>75</v>
      </c>
      <c r="F27" s="12"/>
    </row>
    <row r="28" customFormat="false" ht="15" hidden="false" customHeight="true" outlineLevel="0" collapsed="false">
      <c r="A28" s="7" t="s">
        <v>87</v>
      </c>
      <c r="B28" s="13" t="n">
        <v>15</v>
      </c>
      <c r="C28" s="13" t="n">
        <v>18</v>
      </c>
      <c r="D28" s="13" t="n">
        <v>18</v>
      </c>
      <c r="E28" s="3" t="s">
        <v>53</v>
      </c>
      <c r="F28" s="12"/>
    </row>
    <row r="29" customFormat="false" ht="15" hidden="false" customHeight="true" outlineLevel="0" collapsed="false">
      <c r="A29" s="9" t="s">
        <v>95</v>
      </c>
      <c r="B29" s="10"/>
      <c r="C29" s="10"/>
      <c r="D29" s="10"/>
      <c r="E29" s="10"/>
      <c r="F29" s="10"/>
    </row>
    <row r="30" customFormat="false" ht="15" hidden="false" customHeight="true" outlineLevel="0" collapsed="false">
      <c r="A30" s="7" t="s">
        <v>96</v>
      </c>
      <c r="B30" s="13" t="n">
        <v>1</v>
      </c>
      <c r="C30" s="13" t="n">
        <v>2</v>
      </c>
      <c r="D30" s="13" t="n">
        <v>2</v>
      </c>
      <c r="E30" s="3" t="s">
        <v>93</v>
      </c>
      <c r="F30" s="12" t="s">
        <v>97</v>
      </c>
    </row>
    <row r="31" customFormat="false" ht="15" hidden="false" customHeight="true" outlineLevel="0" collapsed="false">
      <c r="A31" s="7" t="s">
        <v>98</v>
      </c>
      <c r="B31" s="13" t="n">
        <v>1</v>
      </c>
      <c r="C31" s="13" t="n">
        <v>2</v>
      </c>
      <c r="D31" s="13" t="n">
        <v>2</v>
      </c>
      <c r="E31" s="3" t="s">
        <v>93</v>
      </c>
      <c r="F31" s="12" t="s">
        <v>99</v>
      </c>
    </row>
    <row r="32" customFormat="false" ht="15" hidden="false" customHeight="true" outlineLevel="0" collapsed="false">
      <c r="A32" s="7" t="s">
        <v>100</v>
      </c>
      <c r="B32" s="13" t="n">
        <v>10</v>
      </c>
      <c r="C32" s="13" t="n">
        <v>8</v>
      </c>
      <c r="D32" s="13" t="n">
        <v>8</v>
      </c>
      <c r="E32" s="3" t="s">
        <v>75</v>
      </c>
      <c r="F32" s="12"/>
    </row>
    <row r="33" customFormat="false" ht="15" hidden="false" customHeight="true" outlineLevel="0" collapsed="false">
      <c r="A33" s="7" t="s">
        <v>101</v>
      </c>
      <c r="B33" s="13" t="n">
        <v>29</v>
      </c>
      <c r="C33" s="13" t="n">
        <v>27</v>
      </c>
      <c r="D33" s="13" t="n">
        <v>27</v>
      </c>
      <c r="E33" s="3" t="s">
        <v>75</v>
      </c>
      <c r="F33" s="12"/>
    </row>
    <row r="34" customFormat="false" ht="15" hidden="false" customHeight="true" outlineLevel="0" collapsed="false">
      <c r="A34" s="7" t="s">
        <v>102</v>
      </c>
      <c r="B34" s="13" t="n">
        <v>1</v>
      </c>
      <c r="C34" s="13" t="n">
        <v>2</v>
      </c>
      <c r="D34" s="13" t="n">
        <v>2</v>
      </c>
      <c r="E34" s="3" t="s">
        <v>93</v>
      </c>
      <c r="F34" s="12" t="s">
        <v>103</v>
      </c>
    </row>
    <row r="35" customFormat="false" ht="15" hidden="false" customHeight="true" outlineLevel="0" collapsed="false">
      <c r="A35" s="7" t="s">
        <v>104</v>
      </c>
      <c r="B35" s="13" t="n">
        <v>1</v>
      </c>
      <c r="C35" s="13" t="n">
        <v>1</v>
      </c>
      <c r="D35" s="13" t="n">
        <v>1</v>
      </c>
      <c r="E35" s="3" t="s">
        <v>75</v>
      </c>
      <c r="F35" s="12"/>
    </row>
    <row r="36" customFormat="false" ht="15" hidden="false" customHeight="true" outlineLevel="0" collapsed="false">
      <c r="A36" s="7" t="s">
        <v>105</v>
      </c>
      <c r="B36" s="13" t="n">
        <v>20</v>
      </c>
      <c r="C36" s="13" t="n">
        <v>22</v>
      </c>
      <c r="D36" s="13" t="n">
        <v>22</v>
      </c>
      <c r="E36" s="3" t="s">
        <v>75</v>
      </c>
      <c r="F36" s="12"/>
    </row>
    <row r="37" customFormat="false" ht="15" hidden="false" customHeight="true" outlineLevel="0" collapsed="false">
      <c r="A37" s="7" t="s">
        <v>106</v>
      </c>
      <c r="B37" s="13" t="n">
        <v>1</v>
      </c>
      <c r="C37" s="13" t="n">
        <v>2</v>
      </c>
      <c r="D37" s="13" t="n">
        <v>2</v>
      </c>
      <c r="E37" s="3" t="s">
        <v>93</v>
      </c>
      <c r="F37" s="12" t="s">
        <v>107</v>
      </c>
    </row>
    <row r="38" customFormat="false" ht="15" hidden="false" customHeight="true" outlineLevel="0" collapsed="false">
      <c r="A38" s="7" t="s">
        <v>108</v>
      </c>
      <c r="B38" s="13" t="n">
        <v>8000</v>
      </c>
      <c r="C38" s="13" t="n">
        <v>8000</v>
      </c>
      <c r="D38" s="13" t="n">
        <v>9000</v>
      </c>
      <c r="E38" s="3" t="s">
        <v>109</v>
      </c>
      <c r="F38" s="12" t="s">
        <v>110</v>
      </c>
    </row>
    <row r="39" customFormat="false" ht="15" hidden="false" customHeight="true" outlineLevel="0" collapsed="false">
      <c r="A39" s="7" t="s">
        <v>111</v>
      </c>
      <c r="B39" s="13" t="n">
        <v>25000</v>
      </c>
      <c r="C39" s="13" t="n">
        <v>25000</v>
      </c>
      <c r="D39" s="13" t="n">
        <v>28000</v>
      </c>
      <c r="E39" s="3" t="s">
        <v>109</v>
      </c>
      <c r="F39" s="12" t="s">
        <v>112</v>
      </c>
    </row>
    <row r="41" customFormat="false" ht="15" hidden="false" customHeight="true" outlineLevel="0" collapsed="false">
      <c r="A41" s="17" t="s">
        <v>113</v>
      </c>
      <c r="B41" s="18"/>
      <c r="C41" s="18"/>
      <c r="D41" s="18"/>
      <c r="E41" s="18"/>
      <c r="F41" s="18"/>
    </row>
    <row r="42" customFormat="false" ht="15" hidden="false" customHeight="true" outlineLevel="0" collapsed="false">
      <c r="A42" s="7" t="s">
        <v>114</v>
      </c>
      <c r="B42" s="13" t="n">
        <v>2569</v>
      </c>
      <c r="F42" s="12" t="s">
        <v>115</v>
      </c>
    </row>
    <row r="43" customFormat="false" ht="15" hidden="false" customHeight="true" outlineLevel="0" collapsed="false">
      <c r="A43" s="7" t="s">
        <v>116</v>
      </c>
      <c r="B43" s="16" t="n">
        <v>0.02</v>
      </c>
      <c r="F43" s="12" t="s">
        <v>117</v>
      </c>
    </row>
    <row r="44" customFormat="false" ht="15" hidden="false" customHeight="true" outlineLevel="0" collapsed="false">
      <c r="A44" s="7" t="s">
        <v>118</v>
      </c>
      <c r="B44" s="16" t="n">
        <v>0.02</v>
      </c>
      <c r="F44" s="12" t="s">
        <v>119</v>
      </c>
    </row>
    <row r="45" customFormat="false" ht="15" hidden="false" customHeight="true" outlineLevel="0" collapsed="false">
      <c r="A45" s="7" t="s">
        <v>120</v>
      </c>
      <c r="B45" s="16" t="n">
        <v>0.04</v>
      </c>
      <c r="F45" s="12" t="s">
        <v>121</v>
      </c>
    </row>
    <row r="46" customFormat="false" ht="15" hidden="false" customHeight="true" outlineLevel="0" collapsed="false">
      <c r="A46" s="7" t="s">
        <v>122</v>
      </c>
      <c r="B46" s="16" t="n">
        <v>0</v>
      </c>
      <c r="F46" s="12" t="s">
        <v>123</v>
      </c>
    </row>
    <row r="47" customFormat="false" ht="15" hidden="false" customHeight="true" outlineLevel="0" collapsed="false">
      <c r="A47" s="7" t="s">
        <v>124</v>
      </c>
      <c r="B47" s="16" t="n">
        <v>0.7</v>
      </c>
      <c r="F47" s="12" t="s">
        <v>125</v>
      </c>
    </row>
    <row r="48" customFormat="false" ht="15" hidden="false" customHeight="true" outlineLevel="0" collapsed="false">
      <c r="A48" s="7" t="s">
        <v>126</v>
      </c>
      <c r="B48" s="13" t="n">
        <v>50</v>
      </c>
      <c r="F48" s="12" t="s">
        <v>127</v>
      </c>
    </row>
    <row r="49" customFormat="false" ht="15" hidden="false" customHeight="true" outlineLevel="0" collapsed="false">
      <c r="A49" s="7" t="s">
        <v>128</v>
      </c>
      <c r="B49" s="13" t="n">
        <v>11000</v>
      </c>
      <c r="F49" s="12" t="s">
        <v>129</v>
      </c>
    </row>
    <row r="50" customFormat="false" ht="15" hidden="false" customHeight="true" outlineLevel="0" collapsed="false">
      <c r="A50" s="7" t="s">
        <v>130</v>
      </c>
      <c r="B50" s="13" t="n">
        <v>200000</v>
      </c>
      <c r="F50" s="12" t="s">
        <v>131</v>
      </c>
    </row>
    <row r="51" customFormat="false" ht="15" hidden="false" customHeight="true" outlineLevel="0" collapsed="false">
      <c r="A51" s="7" t="s">
        <v>132</v>
      </c>
      <c r="B51" s="13" t="n">
        <v>500000</v>
      </c>
      <c r="F51" s="12" t="s">
        <v>133</v>
      </c>
    </row>
    <row r="52" customFormat="false" ht="15" hidden="false" customHeight="true" outlineLevel="0" collapsed="false">
      <c r="A52" s="7" t="s">
        <v>134</v>
      </c>
      <c r="B52" s="13" t="n">
        <v>15</v>
      </c>
      <c r="F52" s="12" t="s">
        <v>135</v>
      </c>
    </row>
    <row r="53" customFormat="false" ht="15" hidden="false" customHeight="true" outlineLevel="0" collapsed="false">
      <c r="A53" s="7" t="s">
        <v>136</v>
      </c>
      <c r="B53" s="13" t="n">
        <v>30</v>
      </c>
      <c r="F53" s="12" t="s">
        <v>137</v>
      </c>
    </row>
    <row r="54" customFormat="false" ht="15" hidden="false" customHeight="true" outlineLevel="0" collapsed="false">
      <c r="A54" s="7" t="s">
        <v>138</v>
      </c>
      <c r="B54" s="13" t="n">
        <v>3</v>
      </c>
      <c r="F54" s="12" t="s">
        <v>139</v>
      </c>
    </row>
    <row r="55" customFormat="false" ht="15" hidden="false" customHeight="true" outlineLevel="0" collapsed="false">
      <c r="A55" s="7" t="s">
        <v>140</v>
      </c>
      <c r="B55" s="13" t="n">
        <v>1700000</v>
      </c>
      <c r="F55" s="12" t="s">
        <v>141</v>
      </c>
    </row>
    <row r="56" customFormat="false" ht="15" hidden="false" customHeight="true" outlineLevel="0" collapsed="false">
      <c r="A56" s="7" t="s">
        <v>142</v>
      </c>
      <c r="B56" s="13" t="n">
        <v>3780600</v>
      </c>
      <c r="F56" s="12" t="s">
        <v>143</v>
      </c>
    </row>
    <row r="57" customFormat="false" ht="15" hidden="false" customHeight="true" outlineLevel="0" collapsed="false">
      <c r="A57" s="7" t="s">
        <v>144</v>
      </c>
      <c r="B57" s="13" t="n">
        <v>106000</v>
      </c>
      <c r="F57" s="12" t="s">
        <v>145</v>
      </c>
    </row>
    <row r="58" customFormat="false" ht="15" hidden="false" customHeight="true" outlineLevel="0" collapsed="false">
      <c r="A58" s="7" t="s">
        <v>146</v>
      </c>
      <c r="B58" s="13" t="n">
        <v>5000000</v>
      </c>
      <c r="F58" s="1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4" min="13" style="1" width="10"/>
    <col collapsed="false" customWidth="true" hidden="false" outlineLevel="0" max="15" min="15" style="1" width="9"/>
    <col collapsed="false" customWidth="true" hidden="false" outlineLevel="0" max="17" min="16" style="1" width="14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9"/>
    <col collapsed="false" customWidth="true" hidden="false" outlineLevel="0" max="22" min="22" style="1" width="14"/>
    <col collapsed="false" customWidth="true" hidden="false" outlineLevel="0" max="25" min="25" style="1" width="36"/>
    <col collapsed="false" customWidth="true" hidden="false" outlineLevel="0" max="28" min="28" style="1" width="14"/>
  </cols>
  <sheetData>
    <row r="1" customFormat="false" ht="15.75" hidden="false" customHeight="true" outlineLevel="0" collapsed="false">
      <c r="A1" s="2" t="s">
        <v>148</v>
      </c>
    </row>
    <row r="2" customFormat="false" ht="15" hidden="false" customHeight="true" outlineLevel="0" collapsed="false">
      <c r="A2" s="3" t="s">
        <v>149</v>
      </c>
      <c r="Y2" s="6" t="s">
        <v>150</v>
      </c>
    </row>
    <row r="3" customFormat="false" ht="15" hidden="false" customHeight="true" outlineLevel="0" collapsed="false">
      <c r="Y3" s="7" t="s">
        <v>151</v>
      </c>
      <c r="AB3" s="14" t="n">
        <f aca="false">AVERAGE(F42:F46)</f>
        <v>68533.1089622649</v>
      </c>
    </row>
    <row r="4" customFormat="false" ht="15" hidden="false" customHeight="true" outlineLevel="0" collapsed="false">
      <c r="Y4" s="7" t="s">
        <v>152</v>
      </c>
      <c r="AB4" s="14" t="n">
        <f aca="false">MIN(AB3*สมมติฐาน!$B$10/สมมติฐาน!$B$48,AB3*สมมติฐาน!$B$47)</f>
        <v>47973.1762735855</v>
      </c>
    </row>
    <row r="5" customFormat="false" ht="15" hidden="false" customHeight="true" outlineLevel="0" collapsed="false">
      <c r="Y5" s="7" t="s">
        <v>153</v>
      </c>
      <c r="AB5" s="14" t="n">
        <f aca="false">MAX(0,สมมติฐาน!$B$49-AB4)</f>
        <v>0</v>
      </c>
    </row>
    <row r="6" customFormat="false" ht="15" hidden="false" customHeight="true" outlineLevel="0" collapsed="false">
      <c r="Y6" s="7" t="s">
        <v>154</v>
      </c>
      <c r="AB6" s="14" t="n">
        <f aca="false">AB4+AB5</f>
        <v>47973.1762735855</v>
      </c>
    </row>
    <row r="7" customFormat="false" ht="15" hidden="false" customHeight="true" outlineLevel="0" collapsed="false">
      <c r="Y7" s="7" t="s">
        <v>155</v>
      </c>
      <c r="AB7" s="14" t="n">
        <f aca="false">MIN(AB4*สมมติฐาน!$B$52,สมมติฐาน!$B$50)</f>
        <v>200000</v>
      </c>
    </row>
    <row r="8" customFormat="false" ht="42" hidden="false" customHeight="true" outlineLevel="0" collapsed="false">
      <c r="A8" s="8" t="s">
        <v>75</v>
      </c>
      <c r="B8" s="8" t="s">
        <v>156</v>
      </c>
      <c r="C8" s="8" t="s">
        <v>157</v>
      </c>
      <c r="D8" s="8" t="s">
        <v>158</v>
      </c>
      <c r="E8" s="8" t="s">
        <v>159</v>
      </c>
      <c r="F8" s="8" t="s">
        <v>160</v>
      </c>
      <c r="G8" s="8" t="s">
        <v>161</v>
      </c>
      <c r="H8" s="8" t="s">
        <v>162</v>
      </c>
      <c r="I8" s="8" t="s">
        <v>163</v>
      </c>
      <c r="J8" s="8" t="s">
        <v>164</v>
      </c>
      <c r="K8" s="8" t="s">
        <v>165</v>
      </c>
      <c r="L8" s="8" t="s">
        <v>166</v>
      </c>
      <c r="M8" s="8" t="s">
        <v>167</v>
      </c>
      <c r="N8" s="8" t="s">
        <v>168</v>
      </c>
      <c r="O8" s="8" t="s">
        <v>169</v>
      </c>
      <c r="P8" s="8" t="s">
        <v>170</v>
      </c>
      <c r="Q8" s="8" t="s">
        <v>171</v>
      </c>
      <c r="R8" s="8" t="s">
        <v>172</v>
      </c>
      <c r="S8" s="8" t="s">
        <v>173</v>
      </c>
      <c r="T8" s="8" t="s">
        <v>174</v>
      </c>
      <c r="U8" s="8" t="s">
        <v>175</v>
      </c>
      <c r="V8" s="8" t="s">
        <v>176</v>
      </c>
      <c r="Y8" s="7" t="s">
        <v>177</v>
      </c>
      <c r="AB8" s="14" t="n">
        <f aca="false">MIN(AB4*สมมติฐาน!$B$52,สมมติฐาน!$B$51)</f>
        <v>500000</v>
      </c>
    </row>
    <row r="9" customFormat="false" ht="15" hidden="false" customHeight="true" outlineLevel="0" collapsed="false">
      <c r="A9" s="19" t="n">
        <v>1</v>
      </c>
      <c r="B9" s="19" t="n">
        <f aca="false">สมมติฐาน!$B$42+A9-1</f>
        <v>2569</v>
      </c>
      <c r="C9" s="19" t="n">
        <f aca="false">สมมติฐาน!$B$7+A9-1</f>
        <v>22</v>
      </c>
      <c r="D9" s="20" t="str">
        <f aca="false">IF(C9&lt;สมมติฐาน!$B$8,"รับราชการ","รับบำนาญ")</f>
        <v>รับราชการ</v>
      </c>
      <c r="E9" s="21" t="n">
        <f aca="false">(1+สมมติฐาน!$B$43)^(A9-1)</f>
        <v>1</v>
      </c>
      <c r="F9" s="14" t="n">
        <f aca="false">IF(D9="รับราชการ",สมมติฐาน!$B$13*(1+สมมติฐาน!$B$15)^(A9-1)*E9,0)</f>
        <v>13920</v>
      </c>
      <c r="G9" s="14" t="n">
        <f aca="false">F9*12</f>
        <v>167040</v>
      </c>
      <c r="H9" s="14" t="n">
        <f aca="false">IF(D9="รับราชการ",IF(A9&gt;=สมมติฐาน!$B$19,สมมติฐาน!$B$18,IF(A9&gt;=สมมติฐาน!$B$17,สมมติฐาน!$B$16,0))*12*E9,0)</f>
        <v>0</v>
      </c>
      <c r="I9" s="14" t="n">
        <f aca="false">G9*สมมติฐาน!$B$21</f>
        <v>8352</v>
      </c>
      <c r="J9" s="14" t="n">
        <f aca="false">IF(AND(D9="รับราชการ",A9&lt;=สมมติฐาน!$B$23),สมมติฐาน!$B$22*12*E9,0)</f>
        <v>0</v>
      </c>
      <c r="K9" s="14" t="n">
        <f aca="false">IF(AND(D9="รับราชการ",A9&gt;=สมมติฐาน!$B$27,A9&lt;สมมติฐาน!$B$27+สมมติฐาน!$B$28),สมมติฐาน!$B$25*สมมติฐาน!$B$26*E9,0)</f>
        <v>0</v>
      </c>
      <c r="L9" s="14" t="n">
        <f aca="false">G9*สมมติฐาน!$B$20</f>
        <v>5011.2</v>
      </c>
      <c r="M9" s="19" t="n">
        <f aca="false">IF(D9="รับราชการ",สมมติฐาน!$B$30+IF(AND(A9&gt;=สมมติฐาน!$B$32,A9&lt;=สมมติฐาน!$B$33),สมมติฐาน!$B$31,0),0)</f>
        <v>1</v>
      </c>
      <c r="N9" s="19" t="n">
        <f aca="false">IF(AND(A9&gt;=สมมติฐาน!$B$35,A9&lt;=สมมติฐาน!$B$36),สมมติฐาน!$B$34,0)+IF(D9="รับราชการ",0,สมมติฐาน!$B$37)</f>
        <v>1</v>
      </c>
      <c r="O9" s="21" t="n">
        <f aca="false">(1+สมมติฐาน!$B$43)^(A9-1)*(1+สมมติฐาน!$B$44)^(A9-1)</f>
        <v>1</v>
      </c>
      <c r="P9" s="14" t="n">
        <f aca="false">(M9*สมมติฐาน!$B$38+N9*สมมติฐาน!$B$39)*O9</f>
        <v>33000</v>
      </c>
      <c r="Q9" s="14" t="n">
        <f aca="false">IF(D9="รับราชการ",0,$AB$6*12*(1+สมมติฐาน!$B$46)^(A9-38-1))</f>
        <v>0</v>
      </c>
      <c r="R9" s="14" t="n">
        <f aca="false">IF(C9=สมมติฐาน!$B$8,$AB$7,0)+IF(C9=65,$AB$9,0)+IF(A9=57,$AB$10+$AB$11,0)</f>
        <v>0</v>
      </c>
      <c r="S9" s="14" t="n">
        <f aca="false">G9+H9+I9+J9+K9+L9+P9+Q9+R9</f>
        <v>213403.2</v>
      </c>
      <c r="T9" s="14" t="n">
        <f aca="false">S9/E9</f>
        <v>213403.2</v>
      </c>
      <c r="U9" s="21" t="n">
        <f aca="false">1/(1+สมมติฐาน!$B$45)^(A9-1)</f>
        <v>1</v>
      </c>
      <c r="V9" s="14" t="n">
        <f aca="false">S9*U9</f>
        <v>213403.2</v>
      </c>
      <c r="Y9" s="7" t="s">
        <v>178</v>
      </c>
      <c r="AB9" s="14" t="n">
        <f aca="false">AB8-AB7</f>
        <v>300000</v>
      </c>
    </row>
    <row r="10" customFormat="false" ht="15" hidden="false" customHeight="true" outlineLevel="0" collapsed="false">
      <c r="A10" s="22" t="n">
        <v>2</v>
      </c>
      <c r="B10" s="22" t="n">
        <f aca="false">สมมติฐาน!$B$42+A10-1</f>
        <v>2570</v>
      </c>
      <c r="C10" s="22" t="n">
        <f aca="false">สมมติฐาน!$B$7+A10-1</f>
        <v>23</v>
      </c>
      <c r="D10" s="23" t="str">
        <f aca="false">IF(C10&lt;สมมติฐาน!$B$8,"รับราชการ","รับบำนาญ")</f>
        <v>รับราชการ</v>
      </c>
      <c r="E10" s="24" t="n">
        <f aca="false">(1+สมมติฐาน!$B$43)^(A10-1)</f>
        <v>1.02</v>
      </c>
      <c r="F10" s="25" t="n">
        <f aca="false">IF(D10="รับราชการ",สมมติฐาน!$B$13*(1+สมมติฐาน!$B$15)^(A10-1)*E10,0)</f>
        <v>14567.7496118186</v>
      </c>
      <c r="G10" s="25" t="n">
        <f aca="false">F10*12</f>
        <v>174812.995341824</v>
      </c>
      <c r="H10" s="25" t="n">
        <f aca="false">IF(D10="รับราชการ",IF(A10&gt;=สมมติฐาน!$B$19,สมมติฐาน!$B$18,IF(A10&gt;=สมมติฐาน!$B$17,สมมติฐาน!$B$16,0))*12*E10,0)</f>
        <v>0</v>
      </c>
      <c r="I10" s="25" t="n">
        <f aca="false">G10*สมมติฐาน!$B$21</f>
        <v>8740.64976709118</v>
      </c>
      <c r="J10" s="25" t="n">
        <f aca="false">IF(AND(D10="รับราชการ",A10&lt;=สมมติฐาน!$B$23),สมมติฐาน!$B$22*12*E10,0)</f>
        <v>0</v>
      </c>
      <c r="K10" s="25" t="n">
        <f aca="false">IF(AND(D10="รับราชการ",A10&gt;=สมมติฐาน!$B$27,A10&lt;สมมติฐาน!$B$27+สมมติฐาน!$B$28),สมมติฐาน!$B$25*สมมติฐาน!$B$26*E10,0)</f>
        <v>0</v>
      </c>
      <c r="L10" s="25" t="n">
        <f aca="false">G10*สมมติฐาน!$B$20</f>
        <v>5244.3898602547</v>
      </c>
      <c r="M10" s="22" t="n">
        <f aca="false">IF(D10="รับราชการ",สมมติฐาน!$B$30+IF(AND(A10&gt;=สมมติฐาน!$B$32,A10&lt;=สมมติฐาน!$B$33),สมมติฐาน!$B$31,0),0)</f>
        <v>1</v>
      </c>
      <c r="N10" s="22" t="n">
        <f aca="false">IF(AND(A10&gt;=สมมติฐาน!$B$35,A10&lt;=สมมติฐาน!$B$36),สมมติฐาน!$B$34,0)+IF(D10="รับราชการ",0,สมมติฐาน!$B$37)</f>
        <v>1</v>
      </c>
      <c r="O10" s="24" t="n">
        <f aca="false">(1+สมมติฐาน!$B$43)^(A10-1)*(1+สมมติฐาน!$B$44)^(A10-1)</f>
        <v>1.0404</v>
      </c>
      <c r="P10" s="25" t="n">
        <f aca="false">(M10*สมมติฐาน!$B$38+N10*สมมติฐาน!$B$39)*O10</f>
        <v>34333.2</v>
      </c>
      <c r="Q10" s="25" t="n">
        <f aca="false">IF(D10="รับราชการ",0,$AB$6*12*(1+สมมติฐาน!$B$46)^(A10-38-1))</f>
        <v>0</v>
      </c>
      <c r="R10" s="25" t="n">
        <f aca="false">IF(C10=สมมติฐาน!$B$8,$AB$7,0)+IF(C10=65,$AB$9,0)+IF(A10=57,$AB$10+$AB$11,0)</f>
        <v>0</v>
      </c>
      <c r="S10" s="25" t="n">
        <f aca="false">G10+H10+I10+J10+K10+L10+P10+Q10+R10</f>
        <v>223131.234969169</v>
      </c>
      <c r="T10" s="25" t="n">
        <f aca="false">S10/E10</f>
        <v>218756.112714872</v>
      </c>
      <c r="U10" s="24" t="n">
        <f aca="false">1/(1+สมมติฐาน!$B$45)^(A10-1)</f>
        <v>0.961538461538462</v>
      </c>
      <c r="V10" s="25" t="n">
        <f aca="false">S10*U10</f>
        <v>214549.264393432</v>
      </c>
      <c r="Y10" s="7" t="s">
        <v>179</v>
      </c>
      <c r="AB10" s="14" t="n">
        <f aca="false">MAX(0,AB6*สมมติฐาน!$B$53-AB8)</f>
        <v>939195.288207564</v>
      </c>
    </row>
    <row r="11" customFormat="false" ht="15" hidden="false" customHeight="true" outlineLevel="0" collapsed="false">
      <c r="A11" s="19" t="n">
        <v>3</v>
      </c>
      <c r="B11" s="19" t="n">
        <f aca="false">สมมติฐาน!$B$42+A11-1</f>
        <v>2571</v>
      </c>
      <c r="C11" s="19" t="n">
        <f aca="false">สมมติฐาน!$B$7+A11-1</f>
        <v>24</v>
      </c>
      <c r="D11" s="20" t="str">
        <f aca="false">IF(C11&lt;สมมติฐาน!$B$8,"รับราชการ","รับบำนาญ")</f>
        <v>รับราชการ</v>
      </c>
      <c r="E11" s="21" t="n">
        <f aca="false">(1+สมมติฐาน!$B$43)^(A11-1)</f>
        <v>1.0404</v>
      </c>
      <c r="F11" s="14" t="n">
        <f aca="false">IF(D11="รับราชการ",สมมติฐาน!$B$13*(1+สมมติฐาน!$B$15)^(A11-1)*E11,0)</f>
        <v>15245.6414333794</v>
      </c>
      <c r="G11" s="14" t="n">
        <f aca="false">F11*12</f>
        <v>182947.697200553</v>
      </c>
      <c r="H11" s="14" t="n">
        <f aca="false">IF(D11="รับราชการ",IF(A11&gt;=สมมติฐาน!$B$19,สมมติฐาน!$B$18,IF(A11&gt;=สมมติฐาน!$B$17,สมมติฐาน!$B$16,0))*12*E11,0)</f>
        <v>0</v>
      </c>
      <c r="I11" s="14" t="n">
        <f aca="false">G11*สมมติฐาน!$B$21</f>
        <v>9147.38486002766</v>
      </c>
      <c r="J11" s="14" t="n">
        <f aca="false">IF(AND(D11="รับราชการ",A11&lt;=สมมติฐาน!$B$23),สมมติฐาน!$B$22*12*E11,0)</f>
        <v>0</v>
      </c>
      <c r="K11" s="14" t="n">
        <f aca="false">IF(AND(D11="รับราชการ",A11&gt;=สมมติฐาน!$B$27,A11&lt;สมมติฐาน!$B$27+สมมติฐาน!$B$28),สมมติฐาน!$B$25*สมมติฐาน!$B$26*E11,0)</f>
        <v>0</v>
      </c>
      <c r="L11" s="14" t="n">
        <f aca="false">G11*สมมติฐาน!$B$20</f>
        <v>5488.4309160166</v>
      </c>
      <c r="M11" s="19" t="n">
        <f aca="false">IF(D11="รับราชการ",สมมติฐาน!$B$30+IF(AND(A11&gt;=สมมติฐาน!$B$32,A11&lt;=สมมติฐาน!$B$33),สมมติฐาน!$B$31,0),0)</f>
        <v>1</v>
      </c>
      <c r="N11" s="19" t="n">
        <f aca="false">IF(AND(A11&gt;=สมมติฐาน!$B$35,A11&lt;=สมมติฐาน!$B$36),สมมติฐาน!$B$34,0)+IF(D11="รับราชการ",0,สมมติฐาน!$B$37)</f>
        <v>1</v>
      </c>
      <c r="O11" s="21" t="n">
        <f aca="false">(1+สมมติฐาน!$B$43)^(A11-1)*(1+สมมติฐาน!$B$44)^(A11-1)</f>
        <v>1.08243216</v>
      </c>
      <c r="P11" s="14" t="n">
        <f aca="false">(M11*สมมติฐาน!$B$38+N11*สมมติฐาน!$B$39)*O11</f>
        <v>35720.26128</v>
      </c>
      <c r="Q11" s="14" t="n">
        <f aca="false">IF(D11="รับราชการ",0,$AB$6*12*(1+สมมติฐาน!$B$46)^(A11-38-1))</f>
        <v>0</v>
      </c>
      <c r="R11" s="14" t="n">
        <f aca="false">IF(C11=สมมติฐาน!$B$8,$AB$7,0)+IF(C11=65,$AB$9,0)+IF(A11=57,$AB$10+$AB$11,0)</f>
        <v>0</v>
      </c>
      <c r="S11" s="14" t="n">
        <f aca="false">G11+H11+I11+J11+K11+L11+P11+Q11+R11</f>
        <v>233303.774256597</v>
      </c>
      <c r="T11" s="14" t="n">
        <f aca="false">S11/E11</f>
        <v>224244.304360436</v>
      </c>
      <c r="U11" s="21" t="n">
        <f aca="false">1/(1+สมมติฐาน!$B$45)^(A11-1)</f>
        <v>0.924556213017751</v>
      </c>
      <c r="V11" s="14" t="n">
        <f aca="false">S11*U11</f>
        <v>215702.454009428</v>
      </c>
      <c r="Y11" s="7" t="s">
        <v>180</v>
      </c>
      <c r="AB11" s="14" t="n">
        <f aca="false">AB6*สมมติฐาน!$B$54</f>
        <v>143919.528820756</v>
      </c>
    </row>
    <row r="12" customFormat="false" ht="15" hidden="false" customHeight="true" outlineLevel="0" collapsed="false">
      <c r="A12" s="22" t="n">
        <v>4</v>
      </c>
      <c r="B12" s="22" t="n">
        <f aca="false">สมมติฐาน!$B$42+A12-1</f>
        <v>2572</v>
      </c>
      <c r="C12" s="22" t="n">
        <f aca="false">สมมติฐาน!$B$7+A12-1</f>
        <v>25</v>
      </c>
      <c r="D12" s="23" t="str">
        <f aca="false">IF(C12&lt;สมมติฐาน!$B$8,"รับราชการ","รับบำนาญ")</f>
        <v>รับราชการ</v>
      </c>
      <c r="E12" s="24" t="n">
        <f aca="false">(1+สมมติฐาน!$B$43)^(A12-1)</f>
        <v>1.061208</v>
      </c>
      <c r="F12" s="25" t="n">
        <f aca="false">IF(D12="รับราชการ",สมมติฐาน!$B$13*(1+สมมติฐาน!$B$15)^(A12-1)*E12,0)</f>
        <v>15955.0780943275</v>
      </c>
      <c r="G12" s="25" t="n">
        <f aca="false">F12*12</f>
        <v>191460.93713193</v>
      </c>
      <c r="H12" s="25" t="n">
        <f aca="false">IF(D12="รับราชการ",IF(A12&gt;=สมมติฐาน!$B$19,สมมติฐาน!$B$18,IF(A12&gt;=สมมติฐาน!$B$17,สมมติฐาน!$B$16,0))*12*E12,0)</f>
        <v>0</v>
      </c>
      <c r="I12" s="25" t="n">
        <f aca="false">G12*สมมติฐาน!$B$21</f>
        <v>9573.04685659652</v>
      </c>
      <c r="J12" s="25" t="n">
        <f aca="false">IF(AND(D12="รับราชการ",A12&lt;=สมมติฐาน!$B$23),สมมติฐาน!$B$22*12*E12,0)</f>
        <v>0</v>
      </c>
      <c r="K12" s="25" t="n">
        <f aca="false">IF(AND(D12="รับราชการ",A12&gt;=สมมติฐาน!$B$27,A12&lt;สมมติฐาน!$B$27+สมมติฐาน!$B$28),สมมติฐาน!$B$25*สมมติฐาน!$B$26*E12,0)</f>
        <v>0</v>
      </c>
      <c r="L12" s="25" t="n">
        <f aca="false">G12*สมมติฐาน!$B$20</f>
        <v>5743.82811395791</v>
      </c>
      <c r="M12" s="22" t="n">
        <f aca="false">IF(D12="รับราชการ",สมมติฐาน!$B$30+IF(AND(A12&gt;=สมมติฐาน!$B$32,A12&lt;=สมมติฐาน!$B$33),สมมติฐาน!$B$31,0),0)</f>
        <v>1</v>
      </c>
      <c r="N12" s="22" t="n">
        <f aca="false">IF(AND(A12&gt;=สมมติฐาน!$B$35,A12&lt;=สมมติฐาน!$B$36),สมมติฐาน!$B$34,0)+IF(D12="รับราชการ",0,สมมติฐาน!$B$37)</f>
        <v>1</v>
      </c>
      <c r="O12" s="24" t="n">
        <f aca="false">(1+สมมติฐาน!$B$43)^(A12-1)*(1+สมมติฐาน!$B$44)^(A12-1)</f>
        <v>1.126162419264</v>
      </c>
      <c r="P12" s="25" t="n">
        <f aca="false">(M12*สมมติฐาน!$B$38+N12*สมมติฐาน!$B$39)*O12</f>
        <v>37163.359835712</v>
      </c>
      <c r="Q12" s="25" t="n">
        <f aca="false">IF(D12="รับราชการ",0,$AB$6*12*(1+สมมติฐาน!$B$46)^(A12-38-1))</f>
        <v>0</v>
      </c>
      <c r="R12" s="25" t="n">
        <f aca="false">IF(C12=สมมติฐาน!$B$8,$AB$7,0)+IF(C12=65,$AB$9,0)+IF(A12=57,$AB$10+$AB$11,0)</f>
        <v>0</v>
      </c>
      <c r="S12" s="25" t="n">
        <f aca="false">G12+H12+I12+J12+K12+L12+P12+Q12+R12</f>
        <v>243941.171938197</v>
      </c>
      <c r="T12" s="25" t="n">
        <f aca="false">S12/E12</f>
        <v>229871.214632944</v>
      </c>
      <c r="U12" s="24" t="n">
        <f aca="false">1/(1+สมมติฐาน!$B$45)^(A12-1)</f>
        <v>0.888996358670915</v>
      </c>
      <c r="V12" s="25" t="n">
        <f aca="false">S12*U12</f>
        <v>216862.813582973</v>
      </c>
    </row>
    <row r="13" customFormat="false" ht="15" hidden="false" customHeight="true" outlineLevel="0" collapsed="false">
      <c r="A13" s="19" t="n">
        <v>5</v>
      </c>
      <c r="B13" s="19" t="n">
        <f aca="false">สมมติฐาน!$B$42+A13-1</f>
        <v>2573</v>
      </c>
      <c r="C13" s="19" t="n">
        <f aca="false">สมมติฐาน!$B$7+A13-1</f>
        <v>26</v>
      </c>
      <c r="D13" s="20" t="str">
        <f aca="false">IF(C13&lt;สมมติฐาน!$B$8,"รับราชการ","รับบำนาญ")</f>
        <v>รับราชการ</v>
      </c>
      <c r="E13" s="21" t="n">
        <f aca="false">(1+สมมติฐาน!$B$43)^(A13-1)</f>
        <v>1.08243216</v>
      </c>
      <c r="F13" s="14" t="n">
        <f aca="false">IF(D13="รับราชการ",สมมติฐาน!$B$13*(1+สมมติฐาน!$B$15)^(A13-1)*E13,0)</f>
        <v>16697.5274939063</v>
      </c>
      <c r="G13" s="14" t="n">
        <f aca="false">F13*12</f>
        <v>200370.329926876</v>
      </c>
      <c r="H13" s="14" t="n">
        <f aca="false">IF(D13="รับราชการ",IF(A13&gt;=สมมติฐาน!$B$19,สมมติฐาน!$B$18,IF(A13&gt;=สมมติฐาน!$B$17,สมมติฐาน!$B$16,0))*12*E13,0)</f>
        <v>0</v>
      </c>
      <c r="I13" s="14" t="n">
        <f aca="false">G13*สมมติฐาน!$B$21</f>
        <v>10018.5164963438</v>
      </c>
      <c r="J13" s="14" t="n">
        <f aca="false">IF(AND(D13="รับราชการ",A13&lt;=สมมติฐาน!$B$23),สมมติฐาน!$B$22*12*E13,0)</f>
        <v>0</v>
      </c>
      <c r="K13" s="14" t="n">
        <f aca="false">IF(AND(D13="รับราชการ",A13&gt;=สมมติฐาน!$B$27,A13&lt;สมมติฐาน!$B$27+สมมติฐาน!$B$28),สมมติฐาน!$B$25*สมมติฐาน!$B$26*E13,0)</f>
        <v>0</v>
      </c>
      <c r="L13" s="14" t="n">
        <f aca="false">G13*สมมติฐาน!$B$20</f>
        <v>6011.10989780627</v>
      </c>
      <c r="M13" s="19" t="n">
        <f aca="false">IF(D13="รับราชการ",สมมติฐาน!$B$30+IF(AND(A13&gt;=สมมติฐาน!$B$32,A13&lt;=สมมติฐาน!$B$33),สมมติฐาน!$B$31,0),0)</f>
        <v>1</v>
      </c>
      <c r="N13" s="19" t="n">
        <f aca="false">IF(AND(A13&gt;=สมมติฐาน!$B$35,A13&lt;=สมมติฐาน!$B$36),สมมติฐาน!$B$34,0)+IF(D13="รับราชการ",0,สมมติฐาน!$B$37)</f>
        <v>1</v>
      </c>
      <c r="O13" s="21" t="n">
        <f aca="false">(1+สมมติฐาน!$B$43)^(A13-1)*(1+สมมติฐาน!$B$44)^(A13-1)</f>
        <v>1.17165938100227</v>
      </c>
      <c r="P13" s="14" t="n">
        <f aca="false">(M13*สมมติฐาน!$B$38+N13*สมมติฐาน!$B$39)*O13</f>
        <v>38664.7595730748</v>
      </c>
      <c r="Q13" s="14" t="n">
        <f aca="false">IF(D13="รับราชการ",0,$AB$6*12*(1+สมมติฐาน!$B$46)^(A13-38-1))</f>
        <v>0</v>
      </c>
      <c r="R13" s="14" t="n">
        <f aca="false">IF(C13=สมมติฐาน!$B$8,$AB$7,0)+IF(C13=65,$AB$9,0)+IF(A13=57,$AB$10+$AB$11,0)</f>
        <v>0</v>
      </c>
      <c r="S13" s="14" t="n">
        <f aca="false">G13+H13+I13+J13+K13+L13+P13+Q13+R13</f>
        <v>255064.7158941</v>
      </c>
      <c r="T13" s="14" t="n">
        <f aca="false">S13/E13</f>
        <v>235640.371119517</v>
      </c>
      <c r="U13" s="21" t="n">
        <f aca="false">1/(1+สมมติฐาน!$B$45)^(A13-1)</f>
        <v>0.854804191029726</v>
      </c>
      <c r="V13" s="14" t="n">
        <f aca="false">S13*U13</f>
        <v>218030.388130083</v>
      </c>
    </row>
    <row r="14" customFormat="false" ht="15" hidden="false" customHeight="true" outlineLevel="0" collapsed="false">
      <c r="A14" s="22" t="n">
        <v>6</v>
      </c>
      <c r="B14" s="22" t="n">
        <f aca="false">สมมติฐาน!$B$42+A14-1</f>
        <v>2574</v>
      </c>
      <c r="C14" s="22" t="n">
        <f aca="false">สมมติฐาน!$B$7+A14-1</f>
        <v>27</v>
      </c>
      <c r="D14" s="23" t="str">
        <f aca="false">IF(C14&lt;สมมติฐาน!$B$8,"รับราชการ","รับบำนาญ")</f>
        <v>รับราชการ</v>
      </c>
      <c r="E14" s="24" t="n">
        <f aca="false">(1+สมมติฐาน!$B$43)^(A14-1)</f>
        <v>1.1040808032</v>
      </c>
      <c r="F14" s="25" t="n">
        <f aca="false">IF(D14="รับราชการ",สมมติฐาน!$B$13*(1+สมมติฐาน!$B$15)^(A14-1)*E14,0)</f>
        <v>17474.5258381957</v>
      </c>
      <c r="G14" s="25" t="n">
        <f aca="false">F14*12</f>
        <v>209694.310058349</v>
      </c>
      <c r="H14" s="25" t="n">
        <f aca="false">IF(D14="รับราชการ",IF(A14&gt;=สมมติฐาน!$B$19,สมมติฐาน!$B$18,IF(A14&gt;=สมมติฐาน!$B$17,สมมติฐาน!$B$16,0))*12*E14,0)</f>
        <v>0</v>
      </c>
      <c r="I14" s="25" t="n">
        <f aca="false">G14*สมมติฐาน!$B$21</f>
        <v>10484.7155029174</v>
      </c>
      <c r="J14" s="25" t="n">
        <f aca="false">IF(AND(D14="รับราชการ",A14&lt;=สมมติฐาน!$B$23),สมมติฐาน!$B$22*12*E14,0)</f>
        <v>0</v>
      </c>
      <c r="K14" s="25" t="n">
        <f aca="false">IF(AND(D14="รับราชการ",A14&gt;=สมมติฐาน!$B$27,A14&lt;สมมติฐาน!$B$27+สมมติฐาน!$B$28),สมมติฐาน!$B$25*สมมติฐาน!$B$26*E14,0)</f>
        <v>0</v>
      </c>
      <c r="L14" s="25" t="n">
        <f aca="false">G14*สมมติฐาน!$B$20</f>
        <v>6290.82930175046</v>
      </c>
      <c r="M14" s="22" t="n">
        <f aca="false">IF(D14="รับราชการ",สมมติฐาน!$B$30+IF(AND(A14&gt;=สมมติฐาน!$B$32,A14&lt;=สมมติฐาน!$B$33),สมมติฐาน!$B$31,0),0)</f>
        <v>1</v>
      </c>
      <c r="N14" s="22" t="n">
        <f aca="false">IF(AND(A14&gt;=สมมติฐาน!$B$35,A14&lt;=สมมติฐาน!$B$36),สมมติฐาน!$B$34,0)+IF(D14="รับราชการ",0,สมมติฐาน!$B$37)</f>
        <v>1</v>
      </c>
      <c r="O14" s="24" t="n">
        <f aca="false">(1+สมมติฐาน!$B$43)^(A14-1)*(1+สมมติฐาน!$B$44)^(A14-1)</f>
        <v>1.21899441999476</v>
      </c>
      <c r="P14" s="25" t="n">
        <f aca="false">(M14*สมมติฐาน!$B$38+N14*สมมติฐาน!$B$39)*O14</f>
        <v>40226.815859827</v>
      </c>
      <c r="Q14" s="25" t="n">
        <f aca="false">IF(D14="รับราชการ",0,$AB$6*12*(1+สมมติฐาน!$B$46)^(A14-38-1))</f>
        <v>0</v>
      </c>
      <c r="R14" s="25" t="n">
        <f aca="false">IF(C14=สมมติฐาน!$B$8,$AB$7,0)+IF(C14=65,$AB$9,0)+IF(A14=57,$AB$10+$AB$11,0)</f>
        <v>0</v>
      </c>
      <c r="S14" s="25" t="n">
        <f aca="false">G14+H14+I14+J14+K14+L14+P14+Q14+R14</f>
        <v>266696.670722843</v>
      </c>
      <c r="T14" s="25" t="n">
        <f aca="false">S14/E14</f>
        <v>241555.391552743</v>
      </c>
      <c r="U14" s="24" t="n">
        <f aca="false">1/(1+สมมติฐาน!$B$45)^(A14-1)</f>
        <v>0.821927106759352</v>
      </c>
      <c r="V14" s="25" t="n">
        <f aca="false">S14*U14</f>
        <v>219205.222949578</v>
      </c>
    </row>
    <row r="15" customFormat="false" ht="15" hidden="false" customHeight="true" outlineLevel="0" collapsed="false">
      <c r="A15" s="19" t="n">
        <v>7</v>
      </c>
      <c r="B15" s="19" t="n">
        <f aca="false">สมมติฐาน!$B$42+A15-1</f>
        <v>2575</v>
      </c>
      <c r="C15" s="19" t="n">
        <f aca="false">สมมติฐาน!$B$7+A15-1</f>
        <v>28</v>
      </c>
      <c r="D15" s="20" t="str">
        <f aca="false">IF(C15&lt;สมมติฐาน!$B$8,"รับราชการ","รับบำนาญ")</f>
        <v>รับราชการ</v>
      </c>
      <c r="E15" s="21" t="n">
        <f aca="false">(1+สมมติฐาน!$B$43)^(A15-1)</f>
        <v>1.126162419264</v>
      </c>
      <c r="F15" s="14" t="n">
        <f aca="false">IF(D15="รับราชการ",สมมติฐาน!$B$13*(1+สมมติฐาน!$B$15)^(A15-1)*E15,0)</f>
        <v>18287.6808186846</v>
      </c>
      <c r="G15" s="14" t="n">
        <f aca="false">F15*12</f>
        <v>219452.169824216</v>
      </c>
      <c r="H15" s="14" t="n">
        <f aca="false">IF(D15="รับราชการ",IF(A15&gt;=สมมติฐาน!$B$19,สมมติฐาน!$B$18,IF(A15&gt;=สมมติฐาน!$B$17,สมมติฐาน!$B$16,0))*12*E15,0)</f>
        <v>0</v>
      </c>
      <c r="I15" s="14" t="n">
        <f aca="false">G15*สมมติฐาน!$B$21</f>
        <v>10972.6084912108</v>
      </c>
      <c r="J15" s="14" t="n">
        <f aca="false">IF(AND(D15="รับราชการ",A15&lt;=สมมติฐาน!$B$23),สมมติฐาน!$B$22*12*E15,0)</f>
        <v>0</v>
      </c>
      <c r="K15" s="14" t="n">
        <f aca="false">IF(AND(D15="รับราชการ",A15&gt;=สมมติฐาน!$B$27,A15&lt;สมมติฐาน!$B$27+สมมติฐาน!$B$28),สมมติฐาน!$B$25*สมมติฐาน!$B$26*E15,0)</f>
        <v>0</v>
      </c>
      <c r="L15" s="14" t="n">
        <f aca="false">G15*สมมติฐาน!$B$20</f>
        <v>6583.56509472647</v>
      </c>
      <c r="M15" s="19" t="n">
        <f aca="false">IF(D15="รับราชการ",สมมติฐาน!$B$30+IF(AND(A15&gt;=สมมติฐาน!$B$32,A15&lt;=สมมติฐาน!$B$33),สมมติฐาน!$B$31,0),0)</f>
        <v>1</v>
      </c>
      <c r="N15" s="19" t="n">
        <f aca="false">IF(AND(A15&gt;=สมมติฐาน!$B$35,A15&lt;=สมมติฐาน!$B$36),สมมติฐาน!$B$34,0)+IF(D15="รับราชการ",0,สมมติฐาน!$B$37)</f>
        <v>1</v>
      </c>
      <c r="O15" s="21" t="n">
        <f aca="false">(1+สมมติฐาน!$B$43)^(A15-1)*(1+สมมติฐาน!$B$44)^(A15-1)</f>
        <v>1.26824179456255</v>
      </c>
      <c r="P15" s="14" t="n">
        <f aca="false">(M15*สมมติฐาน!$B$38+N15*สมมติฐาน!$B$39)*O15</f>
        <v>41851.979220564</v>
      </c>
      <c r="Q15" s="14" t="n">
        <f aca="false">IF(D15="รับราชการ",0,$AB$6*12*(1+สมมติฐาน!$B$46)^(A15-38-1))</f>
        <v>0</v>
      </c>
      <c r="R15" s="14" t="n">
        <f aca="false">IF(C15=สมมติฐาน!$B$8,$AB$7,0)+IF(C15=65,$AB$9,0)+IF(A15=57,$AB$10+$AB$11,0)</f>
        <v>0</v>
      </c>
      <c r="S15" s="14" t="n">
        <f aca="false">G15+H15+I15+J15+K15+L15+P15+Q15+R15</f>
        <v>278860.322630717</v>
      </c>
      <c r="T15" s="14" t="n">
        <f aca="false">S15/E15</f>
        <v>247619.986123285</v>
      </c>
      <c r="U15" s="21" t="n">
        <f aca="false">1/(1+สมมติฐาน!$B$45)^(A15-1)</f>
        <v>0.790314525730146</v>
      </c>
      <c r="V15" s="14" t="n">
        <f aca="false">S15*U15</f>
        <v>220387.36362485</v>
      </c>
    </row>
    <row r="16" customFormat="false" ht="15" hidden="false" customHeight="true" outlineLevel="0" collapsed="false">
      <c r="A16" s="22" t="n">
        <v>8</v>
      </c>
      <c r="B16" s="22" t="n">
        <f aca="false">สมมติฐาน!$B$42+A16-1</f>
        <v>2576</v>
      </c>
      <c r="C16" s="22" t="n">
        <f aca="false">สมมติฐาน!$B$7+A16-1</f>
        <v>29</v>
      </c>
      <c r="D16" s="23" t="str">
        <f aca="false">IF(C16&lt;สมมติฐาน!$B$8,"รับราชการ","รับบำนาญ")</f>
        <v>รับราชการ</v>
      </c>
      <c r="E16" s="24" t="n">
        <f aca="false">(1+สมมติฐาน!$B$43)^(A16-1)</f>
        <v>1.14868566764928</v>
      </c>
      <c r="F16" s="25" t="n">
        <f aca="false">IF(D16="รับราชการ",สมมติฐาน!$B$13*(1+สมมติฐาน!$B$15)^(A16-1)*E16,0)</f>
        <v>19138.674938754</v>
      </c>
      <c r="G16" s="25" t="n">
        <f aca="false">F16*12</f>
        <v>229664.099265048</v>
      </c>
      <c r="H16" s="25" t="n">
        <f aca="false">IF(D16="รับราชการ",IF(A16&gt;=สมมติฐาน!$B$19,สมมติฐาน!$B$18,IF(A16&gt;=สมมติฐาน!$B$17,สมมติฐาน!$B$16,0))*12*E16,0)</f>
        <v>0</v>
      </c>
      <c r="I16" s="25" t="n">
        <f aca="false">G16*สมมติฐาน!$B$21</f>
        <v>11483.2049632524</v>
      </c>
      <c r="J16" s="25" t="n">
        <f aca="false">IF(AND(D16="รับราชการ",A16&lt;=สมมติฐาน!$B$23),สมมติฐาน!$B$22*12*E16,0)</f>
        <v>0</v>
      </c>
      <c r="K16" s="25" t="n">
        <f aca="false">IF(AND(D16="รับราชการ",A16&gt;=สมมติฐาน!$B$27,A16&lt;สมมติฐาน!$B$27+สมมติฐาน!$B$28),สมมติฐาน!$B$25*สมมติฐาน!$B$26*E16,0)</f>
        <v>0</v>
      </c>
      <c r="L16" s="25" t="n">
        <f aca="false">G16*สมมติฐาน!$B$20</f>
        <v>6889.92297795145</v>
      </c>
      <c r="M16" s="22" t="n">
        <f aca="false">IF(D16="รับราชการ",สมมติฐาน!$B$30+IF(AND(A16&gt;=สมมติฐาน!$B$32,A16&lt;=สมมติฐาน!$B$33),สมมติฐาน!$B$31,0),0)</f>
        <v>1</v>
      </c>
      <c r="N16" s="22" t="n">
        <f aca="false">IF(AND(A16&gt;=สมมติฐาน!$B$35,A16&lt;=สมมติฐาน!$B$36),สมมติฐาน!$B$34,0)+IF(D16="รับราชการ",0,สมมติฐาน!$B$37)</f>
        <v>1</v>
      </c>
      <c r="O16" s="24" t="n">
        <f aca="false">(1+สมมติฐาน!$B$43)^(A16-1)*(1+สมมติฐาน!$B$44)^(A16-1)</f>
        <v>1.31947876306287</v>
      </c>
      <c r="P16" s="25" t="n">
        <f aca="false">(M16*สมมติฐาน!$B$38+N16*สมมติฐาน!$B$39)*O16</f>
        <v>43542.7991810748</v>
      </c>
      <c r="Q16" s="25" t="n">
        <f aca="false">IF(D16="รับราชการ",0,$AB$6*12*(1+สมมติฐาน!$B$46)^(A16-38-1))</f>
        <v>0</v>
      </c>
      <c r="R16" s="25" t="n">
        <f aca="false">IF(C16=สมมติฐาน!$B$8,$AB$7,0)+IF(C16=65,$AB$9,0)+IF(A16=57,$AB$10+$AB$11,0)</f>
        <v>0</v>
      </c>
      <c r="S16" s="25" t="n">
        <f aca="false">G16+H16+I16+J16+K16+L16+P16+Q16+R16</f>
        <v>291580.026387327</v>
      </c>
      <c r="T16" s="25" t="n">
        <f aca="false">S16/E16</f>
        <v>253837.959852001</v>
      </c>
      <c r="U16" s="24" t="n">
        <f aca="false">1/(1+สมมติฐาน!$B$45)^(A16-1)</f>
        <v>0.759917813202063</v>
      </c>
      <c r="V16" s="25" t="n">
        <f aca="false">S16*U16</f>
        <v>221576.856025657</v>
      </c>
    </row>
    <row r="17" customFormat="false" ht="15" hidden="false" customHeight="true" outlineLevel="0" collapsed="false">
      <c r="A17" s="19" t="n">
        <v>9</v>
      </c>
      <c r="B17" s="19" t="n">
        <f aca="false">สมมติฐาน!$B$42+A17-1</f>
        <v>2577</v>
      </c>
      <c r="C17" s="19" t="n">
        <f aca="false">สมมติฐาน!$B$7+A17-1</f>
        <v>30</v>
      </c>
      <c r="D17" s="20" t="str">
        <f aca="false">IF(C17&lt;สมมติฐาน!$B$8,"รับราชการ","รับบำนาญ")</f>
        <v>รับราชการ</v>
      </c>
      <c r="E17" s="21" t="n">
        <f aca="false">(1+สมมติฐาน!$B$43)^(A17-1)</f>
        <v>1.17165938100227</v>
      </c>
      <c r="F17" s="14" t="n">
        <f aca="false">IF(D17="รับราชการ",สมมติฐาน!$B$13*(1+สมมติฐาน!$B$15)^(A17-1)*E17,0)</f>
        <v>20029.2689949538</v>
      </c>
      <c r="G17" s="14" t="n">
        <f aca="false">F17*12</f>
        <v>240351.227939446</v>
      </c>
      <c r="H17" s="14" t="n">
        <f aca="false">IF(D17="รับราชการ",IF(A17&gt;=สมมติฐาน!$B$19,สมมติฐาน!$B$18,IF(A17&gt;=สมมติฐาน!$B$17,สมมติฐาน!$B$16,0))*12*E17,0)</f>
        <v>0</v>
      </c>
      <c r="I17" s="14" t="n">
        <f aca="false">G17*สมมติฐาน!$B$21</f>
        <v>12017.5613969723</v>
      </c>
      <c r="J17" s="14" t="n">
        <f aca="false">IF(AND(D17="รับราชการ",A17&lt;=สมมติฐาน!$B$23),สมมติฐาน!$B$22*12*E17,0)</f>
        <v>0</v>
      </c>
      <c r="K17" s="14" t="n">
        <f aca="false">IF(AND(D17="รับราชการ",A17&gt;=สมมติฐาน!$B$27,A17&lt;สมมติฐาน!$B$27+สมมติฐาน!$B$28),สมมติฐาน!$B$25*สมมติฐาน!$B$26*E17,0)</f>
        <v>0</v>
      </c>
      <c r="L17" s="14" t="n">
        <f aca="false">G17*สมมติฐาน!$B$20</f>
        <v>7210.53683818337</v>
      </c>
      <c r="M17" s="19" t="n">
        <f aca="false">IF(D17="รับราชการ",สมมติฐาน!$B$30+IF(AND(A17&gt;=สมมติฐาน!$B$32,A17&lt;=สมมติฐาน!$B$33),สมมติฐาน!$B$31,0),0)</f>
        <v>1</v>
      </c>
      <c r="N17" s="19" t="n">
        <f aca="false">IF(AND(A17&gt;=สมมติฐาน!$B$35,A17&lt;=สมมติฐาน!$B$36),สมมติฐาน!$B$34,0)+IF(D17="รับราชการ",0,สมมติฐาน!$B$37)</f>
        <v>1</v>
      </c>
      <c r="O17" s="21" t="n">
        <f aca="false">(1+สมมติฐาน!$B$43)^(A17-1)*(1+สมมติฐาน!$B$44)^(A17-1)</f>
        <v>1.37278570509061</v>
      </c>
      <c r="P17" s="14" t="n">
        <f aca="false">(M17*สมมติฐาน!$B$38+N17*สมมติฐาน!$B$39)*O17</f>
        <v>45301.9282679902</v>
      </c>
      <c r="Q17" s="14" t="n">
        <f aca="false">IF(D17="รับราชการ",0,$AB$6*12*(1+สมมติฐาน!$B$46)^(A17-38-1))</f>
        <v>0</v>
      </c>
      <c r="R17" s="14" t="n">
        <f aca="false">IF(C17=สมมติฐาน!$B$8,$AB$7,0)+IF(C17=65,$AB$9,0)+IF(A17=57,$AB$10+$AB$11,0)</f>
        <v>0</v>
      </c>
      <c r="S17" s="14" t="n">
        <f aca="false">G17+H17+I17+J17+K17+L17+P17+Q17+R17</f>
        <v>304881.254442591</v>
      </c>
      <c r="T17" s="14" t="n">
        <f aca="false">S17/E17</f>
        <v>260213.215023114</v>
      </c>
      <c r="U17" s="21" t="n">
        <f aca="false">1/(1+สมมติฐาน!$B$45)^(A17-1)</f>
        <v>0.730690205001984</v>
      </c>
      <c r="V17" s="14" t="n">
        <f aca="false">S17*U17</f>
        <v>222773.746309919</v>
      </c>
    </row>
    <row r="18" customFormat="false" ht="15" hidden="false" customHeight="true" outlineLevel="0" collapsed="false">
      <c r="A18" s="22" t="n">
        <v>10</v>
      </c>
      <c r="B18" s="22" t="n">
        <f aca="false">สมมติฐาน!$B$42+A18-1</f>
        <v>2578</v>
      </c>
      <c r="C18" s="22" t="n">
        <f aca="false">สมมติฐาน!$B$7+A18-1</f>
        <v>31</v>
      </c>
      <c r="D18" s="23" t="str">
        <f aca="false">IF(C18&lt;สมมติฐาน!$B$8,"รับราชการ","รับบำนาญ")</f>
        <v>รับราชการ</v>
      </c>
      <c r="E18" s="24" t="n">
        <f aca="false">(1+สมมติฐาน!$B$43)^(A18-1)</f>
        <v>1.19509256862231</v>
      </c>
      <c r="F18" s="25" t="n">
        <f aca="false">IF(D18="รับราชการ",สมมติฐาน!$B$13*(1+สมมติฐาน!$B$15)^(A18-1)*E18,0)</f>
        <v>20961.3057202765</v>
      </c>
      <c r="G18" s="25" t="n">
        <f aca="false">F18*12</f>
        <v>251535.668643318</v>
      </c>
      <c r="H18" s="25" t="n">
        <f aca="false">IF(D18="รับราชการ",IF(A18&gt;=สมมติฐาน!$B$19,สมมติฐาน!$B$18,IF(A18&gt;=สมมติฐาน!$B$17,สมมติฐาน!$B$16,0))*12*E18,0)</f>
        <v>0</v>
      </c>
      <c r="I18" s="25" t="n">
        <f aca="false">G18*สมมติฐาน!$B$21</f>
        <v>12576.7834321659</v>
      </c>
      <c r="J18" s="25" t="n">
        <f aca="false">IF(AND(D18="รับราชการ",A18&lt;=สมมติฐาน!$B$23),สมมติฐาน!$B$22*12*E18,0)</f>
        <v>0</v>
      </c>
      <c r="K18" s="25" t="n">
        <f aca="false">IF(AND(D18="รับราชการ",A18&gt;=สมมติฐาน!$B$27,A18&lt;สมมติฐาน!$B$27+สมมติฐาน!$B$28),สมมติฐาน!$B$25*สมมติฐาน!$B$26*E18,0)</f>
        <v>14341.1108234677</v>
      </c>
      <c r="L18" s="25" t="n">
        <f aca="false">G18*สมมติฐาน!$B$20</f>
        <v>7546.07005929954</v>
      </c>
      <c r="M18" s="22" t="n">
        <f aca="false">IF(D18="รับราชการ",สมมติฐาน!$B$30+IF(AND(A18&gt;=สมมติฐาน!$B$32,A18&lt;=สมมติฐาน!$B$33),สมมติฐาน!$B$31,0),0)</f>
        <v>2</v>
      </c>
      <c r="N18" s="22" t="n">
        <f aca="false">IF(AND(A18&gt;=สมมติฐาน!$B$35,A18&lt;=สมมติฐาน!$B$36),สมมติฐาน!$B$34,0)+IF(D18="รับราชการ",0,สมมติฐาน!$B$37)</f>
        <v>1</v>
      </c>
      <c r="O18" s="24" t="n">
        <f aca="false">(1+สมมติฐาน!$B$43)^(A18-1)*(1+สมมติฐาน!$B$44)^(A18-1)</f>
        <v>1.42824624757627</v>
      </c>
      <c r="P18" s="25" t="n">
        <f aca="false">(M18*สมมติฐาน!$B$38+N18*สมมติฐาน!$B$39)*O18</f>
        <v>58558.0961506272</v>
      </c>
      <c r="Q18" s="25" t="n">
        <f aca="false">IF(D18="รับราชการ",0,$AB$6*12*(1+สมมติฐาน!$B$46)^(A18-38-1))</f>
        <v>0</v>
      </c>
      <c r="R18" s="25" t="n">
        <f aca="false">IF(C18=สมมติฐาน!$B$8,$AB$7,0)+IF(C18=65,$AB$9,0)+IF(A18=57,$AB$10+$AB$11,0)</f>
        <v>0</v>
      </c>
      <c r="S18" s="25" t="n">
        <f aca="false">G18+H18+I18+J18+K18+L18+P18+Q18+R18</f>
        <v>344557.729108878</v>
      </c>
      <c r="T18" s="25" t="n">
        <f aca="false">S18/E18</f>
        <v>288310.494228979</v>
      </c>
      <c r="U18" s="24" t="n">
        <f aca="false">1/(1+สมมติฐาน!$B$45)^(A18-1)</f>
        <v>0.702586735578831</v>
      </c>
      <c r="V18" s="25" t="n">
        <f aca="false">S18*U18</f>
        <v>242081.690113062</v>
      </c>
    </row>
    <row r="19" customFormat="false" ht="15" hidden="false" customHeight="true" outlineLevel="0" collapsed="false">
      <c r="A19" s="19" t="n">
        <v>11</v>
      </c>
      <c r="B19" s="19" t="n">
        <f aca="false">สมมติฐาน!$B$42+A19-1</f>
        <v>2579</v>
      </c>
      <c r="C19" s="19" t="n">
        <f aca="false">สมมติฐาน!$B$7+A19-1</f>
        <v>32</v>
      </c>
      <c r="D19" s="20" t="str">
        <f aca="false">IF(C19&lt;สมมติฐาน!$B$8,"รับราชการ","รับบำนาญ")</f>
        <v>รับราชการ</v>
      </c>
      <c r="E19" s="21" t="n">
        <f aca="false">(1+สมมติฐาน!$B$43)^(A19-1)</f>
        <v>1.21899441999476</v>
      </c>
      <c r="F19" s="14" t="n">
        <f aca="false">IF(D19="รับราชการ",สมมติฐาน!$B$13*(1+สมมติฐาน!$B$15)^(A19-1)*E19,0)</f>
        <v>21936.7135969662</v>
      </c>
      <c r="G19" s="14" t="n">
        <f aca="false">F19*12</f>
        <v>263240.563163594</v>
      </c>
      <c r="H19" s="14" t="n">
        <f aca="false">IF(D19="รับราชการ",IF(A19&gt;=สมมติฐาน!$B$19,สมมติฐาน!$B$18,IF(A19&gt;=สมมติฐาน!$B$17,สมมติฐาน!$B$16,0))*12*E19,0)</f>
        <v>0</v>
      </c>
      <c r="I19" s="14" t="n">
        <f aca="false">G19*สมมติฐาน!$B$21</f>
        <v>13162.0281581797</v>
      </c>
      <c r="J19" s="14" t="n">
        <f aca="false">IF(AND(D19="รับราชการ",A19&lt;=สมมติฐาน!$B$23),สมมติฐาน!$B$22*12*E19,0)</f>
        <v>0</v>
      </c>
      <c r="K19" s="14" t="n">
        <f aca="false">IF(AND(D19="รับราชการ",A19&gt;=สมมติฐาน!$B$27,A19&lt;สมมติฐาน!$B$27+สมมติฐาน!$B$28),สมมติฐาน!$B$25*สมมติฐาน!$B$26*E19,0)</f>
        <v>14627.9330399371</v>
      </c>
      <c r="L19" s="14" t="n">
        <f aca="false">G19*สมมติฐาน!$B$20</f>
        <v>7897.21689490783</v>
      </c>
      <c r="M19" s="19" t="n">
        <f aca="false">IF(D19="รับราชการ",สมมติฐาน!$B$30+IF(AND(A19&gt;=สมมติฐาน!$B$32,A19&lt;=สมมติฐาน!$B$33),สมมติฐาน!$B$31,0),0)</f>
        <v>2</v>
      </c>
      <c r="N19" s="19" t="n">
        <f aca="false">IF(AND(A19&gt;=สมมติฐาน!$B$35,A19&lt;=สมมติฐาน!$B$36),สมมติฐาน!$B$34,0)+IF(D19="รับราชการ",0,สมมติฐาน!$B$37)</f>
        <v>1</v>
      </c>
      <c r="O19" s="21" t="n">
        <f aca="false">(1+สมมติฐาน!$B$43)^(A19-1)*(1+สมมติฐาน!$B$44)^(A19-1)</f>
        <v>1.48594739597836</v>
      </c>
      <c r="P19" s="14" t="n">
        <f aca="false">(M19*สมมติฐาน!$B$38+N19*สมมติฐาน!$B$39)*O19</f>
        <v>60923.8432351126</v>
      </c>
      <c r="Q19" s="14" t="n">
        <f aca="false">IF(D19="รับราชการ",0,$AB$6*12*(1+สมมติฐาน!$B$46)^(A19-38-1))</f>
        <v>0</v>
      </c>
      <c r="R19" s="14" t="n">
        <f aca="false">IF(C19=สมมติฐาน!$B$8,$AB$7,0)+IF(C19=65,$AB$9,0)+IF(A19=57,$AB$10+$AB$11,0)</f>
        <v>0</v>
      </c>
      <c r="S19" s="14" t="n">
        <f aca="false">G19+H19+I19+J19+K19+L19+P19+Q19+R19</f>
        <v>359851.584491732</v>
      </c>
      <c r="T19" s="14" t="n">
        <f aca="false">S19/E19</f>
        <v>295203.635545173</v>
      </c>
      <c r="U19" s="21" t="n">
        <f aca="false">1/(1+สมมติฐาน!$B$45)^(A19-1)</f>
        <v>0.675564168825799</v>
      </c>
      <c r="V19" s="14" t="n">
        <f aca="false">S19*U19</f>
        <v>243102.836577803</v>
      </c>
    </row>
    <row r="20" customFormat="false" ht="15" hidden="false" customHeight="true" outlineLevel="0" collapsed="false">
      <c r="A20" s="22" t="n">
        <v>12</v>
      </c>
      <c r="B20" s="22" t="n">
        <f aca="false">สมมติฐาน!$B$42+A20-1</f>
        <v>2580</v>
      </c>
      <c r="C20" s="22" t="n">
        <f aca="false">สมมติฐาน!$B$7+A20-1</f>
        <v>33</v>
      </c>
      <c r="D20" s="23" t="str">
        <f aca="false">IF(C20&lt;สมมติฐาน!$B$8,"รับราชการ","รับบำนาญ")</f>
        <v>รับราชการ</v>
      </c>
      <c r="E20" s="24" t="n">
        <f aca="false">(1+สมมติฐาน!$B$43)^(A20-1)</f>
        <v>1.24337430839465</v>
      </c>
      <c r="F20" s="25" t="n">
        <f aca="false">IF(D20="รับราชการ",สมมติฐาน!$B$13*(1+สมมติฐาน!$B$15)^(A20-1)*E20,0)</f>
        <v>22957.5108467515</v>
      </c>
      <c r="G20" s="25" t="n">
        <f aca="false">F20*12</f>
        <v>275490.130161018</v>
      </c>
      <c r="H20" s="25" t="n">
        <f aca="false">IF(D20="รับราชการ",IF(A20&gt;=สมมติฐาน!$B$19,สมมติฐาน!$B$18,IF(A20&gt;=สมมติฐาน!$B$17,สมมติฐาน!$B$16,0))*12*E20,0)</f>
        <v>0</v>
      </c>
      <c r="I20" s="25" t="n">
        <f aca="false">G20*สมมติฐาน!$B$21</f>
        <v>13774.5065080509</v>
      </c>
      <c r="J20" s="25" t="n">
        <f aca="false">IF(AND(D20="รับราชการ",A20&lt;=สมมติฐาน!$B$23),สมมติฐาน!$B$22*12*E20,0)</f>
        <v>0</v>
      </c>
      <c r="K20" s="25" t="n">
        <f aca="false">IF(AND(D20="รับราชการ",A20&gt;=สมมติฐาน!$B$27,A20&lt;สมมติฐาน!$B$27+สมมติฐาน!$B$28),สมมติฐาน!$B$25*สมมติฐาน!$B$26*E20,0)</f>
        <v>14920.4917007358</v>
      </c>
      <c r="L20" s="25" t="n">
        <f aca="false">G20*สมมติฐาน!$B$20</f>
        <v>8264.70390483054</v>
      </c>
      <c r="M20" s="22" t="n">
        <f aca="false">IF(D20="รับราชการ",สมมติฐาน!$B$30+IF(AND(A20&gt;=สมมติฐาน!$B$32,A20&lt;=สมมติฐาน!$B$33),สมมติฐาน!$B$31,0),0)</f>
        <v>2</v>
      </c>
      <c r="N20" s="22" t="n">
        <f aca="false">IF(AND(A20&gt;=สมมติฐาน!$B$35,A20&lt;=สมมติฐาน!$B$36),สมมติฐาน!$B$34,0)+IF(D20="รับราชการ",0,สมมติฐาน!$B$37)</f>
        <v>1</v>
      </c>
      <c r="O20" s="24" t="n">
        <f aca="false">(1+สมมติฐาน!$B$43)^(A20-1)*(1+สมมติฐาน!$B$44)^(A20-1)</f>
        <v>1.54597967077588</v>
      </c>
      <c r="P20" s="25" t="n">
        <f aca="false">(M20*สมมติฐาน!$B$38+N20*สมมติฐาน!$B$39)*O20</f>
        <v>63385.1665018111</v>
      </c>
      <c r="Q20" s="25" t="n">
        <f aca="false">IF(D20="รับราชการ",0,$AB$6*12*(1+สมมติฐาน!$B$46)^(A20-38-1))</f>
        <v>0</v>
      </c>
      <c r="R20" s="25" t="n">
        <f aca="false">IF(C20=สมมติฐาน!$B$8,$AB$7,0)+IF(C20=65,$AB$9,0)+IF(A20=57,$AB$10+$AB$11,0)</f>
        <v>0</v>
      </c>
      <c r="S20" s="25" t="n">
        <f aca="false">G20+H20+I20+J20+K20+L20+P20+Q20+R20</f>
        <v>375834.998776446</v>
      </c>
      <c r="T20" s="25" t="n">
        <f aca="false">S20/E20</f>
        <v>302270.198313567</v>
      </c>
      <c r="U20" s="24" t="n">
        <f aca="false">1/(1+สมมติฐาน!$B$45)^(A20-1)</f>
        <v>0.649580931563268</v>
      </c>
      <c r="V20" s="25" t="n">
        <f aca="false">S20*U20</f>
        <v>244135.248619284</v>
      </c>
    </row>
    <row r="21" customFormat="false" ht="15" hidden="false" customHeight="true" outlineLevel="0" collapsed="false">
      <c r="A21" s="19" t="n">
        <v>13</v>
      </c>
      <c r="B21" s="19" t="n">
        <f aca="false">สมมติฐาน!$B$42+A21-1</f>
        <v>2581</v>
      </c>
      <c r="C21" s="19" t="n">
        <f aca="false">สมมติฐาน!$B$7+A21-1</f>
        <v>34</v>
      </c>
      <c r="D21" s="20" t="str">
        <f aca="false">IF(C21&lt;สมมติฐาน!$B$8,"รับราชการ","รับบำนาญ")</f>
        <v>รับราชการ</v>
      </c>
      <c r="E21" s="21" t="n">
        <f aca="false">(1+สมมติฐาน!$B$43)^(A21-1)</f>
        <v>1.26824179456255</v>
      </c>
      <c r="F21" s="14" t="n">
        <f aca="false">IF(D21="รับราชการ",สมมติฐาน!$B$13*(1+สมมติฐาน!$B$15)^(A21-1)*E21,0)</f>
        <v>24025.809606759</v>
      </c>
      <c r="G21" s="14" t="n">
        <f aca="false">F21*12</f>
        <v>288309.715281109</v>
      </c>
      <c r="H21" s="14" t="n">
        <f aca="false">IF(D21="รับราชการ",IF(A21&gt;=สมมติฐาน!$B$19,สมมติฐาน!$B$18,IF(A21&gt;=สมมติฐาน!$B$17,สมมติฐาน!$B$16,0))*12*E21,0)</f>
        <v>0</v>
      </c>
      <c r="I21" s="14" t="n">
        <f aca="false">G21*สมมติฐาน!$B$21</f>
        <v>14415.4857640554</v>
      </c>
      <c r="J21" s="14" t="n">
        <f aca="false">IF(AND(D21="รับราชการ",A21&lt;=สมมติฐาน!$B$23),สมมติฐาน!$B$22*12*E21,0)</f>
        <v>0</v>
      </c>
      <c r="K21" s="14" t="n">
        <f aca="false">IF(AND(D21="รับราชการ",A21&gt;=สมมติฐาน!$B$27,A21&lt;สมมติฐาน!$B$27+สมมติฐาน!$B$28),สมมติฐาน!$B$25*สมมติฐาน!$B$26*E21,0)</f>
        <v>15218.9015347505</v>
      </c>
      <c r="L21" s="14" t="n">
        <f aca="false">G21*สมมติฐาน!$B$20</f>
        <v>8649.29145843326</v>
      </c>
      <c r="M21" s="19" t="n">
        <f aca="false">IF(D21="รับราชการ",สมมติฐาน!$B$30+IF(AND(A21&gt;=สมมติฐาน!$B$32,A21&lt;=สมมติฐาน!$B$33),สมมติฐาน!$B$31,0),0)</f>
        <v>2</v>
      </c>
      <c r="N21" s="19" t="n">
        <f aca="false">IF(AND(A21&gt;=สมมติฐาน!$B$35,A21&lt;=สมมติฐาน!$B$36),สมมติฐาน!$B$34,0)+IF(D21="รับราชการ",0,สมมติฐาน!$B$37)</f>
        <v>1</v>
      </c>
      <c r="O21" s="21" t="n">
        <f aca="false">(1+สมมติฐาน!$B$43)^(A21-1)*(1+สมมติฐาน!$B$44)^(A21-1)</f>
        <v>1.60843724947523</v>
      </c>
      <c r="P21" s="14" t="n">
        <f aca="false">(M21*สมมติฐาน!$B$38+N21*สมมติฐาน!$B$39)*O21</f>
        <v>65945.9272284843</v>
      </c>
      <c r="Q21" s="14" t="n">
        <f aca="false">IF(D21="รับราชการ",0,$AB$6*12*(1+สมมติฐาน!$B$46)^(A21-38-1))</f>
        <v>0</v>
      </c>
      <c r="R21" s="14" t="n">
        <f aca="false">IF(C21=สมมติฐาน!$B$8,$AB$7,0)+IF(C21=65,$AB$9,0)+IF(A21=57,$AB$10+$AB$11,0)</f>
        <v>0</v>
      </c>
      <c r="S21" s="14" t="n">
        <f aca="false">G21+H21+I21+J21+K21+L21+P21+Q21+R21</f>
        <v>392539.321266832</v>
      </c>
      <c r="T21" s="14" t="n">
        <f aca="false">S21/E21</f>
        <v>309514.575966352</v>
      </c>
      <c r="U21" s="21" t="n">
        <f aca="false">1/(1+สมมติฐาน!$B$45)^(A21-1)</f>
        <v>0.624597049580065</v>
      </c>
      <c r="V21" s="14" t="n">
        <f aca="false">S21*U21</f>
        <v>245178.901907425</v>
      </c>
    </row>
    <row r="22" customFormat="false" ht="15" hidden="false" customHeight="true" outlineLevel="0" collapsed="false">
      <c r="A22" s="22" t="n">
        <v>14</v>
      </c>
      <c r="B22" s="22" t="n">
        <f aca="false">สมมติฐาน!$B$42+A22-1</f>
        <v>2582</v>
      </c>
      <c r="C22" s="22" t="n">
        <f aca="false">สมมติฐาน!$B$7+A22-1</f>
        <v>35</v>
      </c>
      <c r="D22" s="23" t="str">
        <f aca="false">IF(C22&lt;สมมติฐาน!$B$8,"รับราชการ","รับบำนาญ")</f>
        <v>รับราชการ</v>
      </c>
      <c r="E22" s="24" t="n">
        <f aca="false">(1+สมมติฐาน!$B$43)^(A22-1)</f>
        <v>1.2936066304538</v>
      </c>
      <c r="F22" s="25" t="n">
        <f aca="false">IF(D22="รับราชการ",สมมติฐาน!$B$13*(1+สมมติฐาน!$B$15)^(A22-1)*E22,0)</f>
        <v>25143.820299748</v>
      </c>
      <c r="G22" s="25" t="n">
        <f aca="false">F22*12</f>
        <v>301725.843596976</v>
      </c>
      <c r="H22" s="25" t="n">
        <f aca="false">IF(D22="รับราชการ",IF(A22&gt;=สมมติฐาน!$B$19,สมมติฐาน!$B$18,IF(A22&gt;=สมมติฐาน!$B$17,สมมติฐาน!$B$16,0))*12*E22,0)</f>
        <v>0</v>
      </c>
      <c r="I22" s="25" t="n">
        <f aca="false">G22*สมมติฐาน!$B$21</f>
        <v>15086.2921798488</v>
      </c>
      <c r="J22" s="25" t="n">
        <f aca="false">IF(AND(D22="รับราชการ",A22&lt;=สมมติฐาน!$B$23),สมมติฐาน!$B$22*12*E22,0)</f>
        <v>0</v>
      </c>
      <c r="K22" s="25" t="n">
        <f aca="false">IF(AND(D22="รับราชการ",A22&gt;=สมมติฐาน!$B$27,A22&lt;สมมติฐาน!$B$27+สมมติฐาน!$B$28),สมมติฐาน!$B$25*สมมติฐาน!$B$26*E22,0)</f>
        <v>15523.2795654456</v>
      </c>
      <c r="L22" s="25" t="n">
        <f aca="false">G22*สมมติฐาน!$B$20</f>
        <v>9051.77530790929</v>
      </c>
      <c r="M22" s="22" t="n">
        <f aca="false">IF(D22="รับราชการ",สมมติฐาน!$B$30+IF(AND(A22&gt;=สมมติฐาน!$B$32,A22&lt;=สมมติฐาน!$B$33),สมมติฐาน!$B$31,0),0)</f>
        <v>2</v>
      </c>
      <c r="N22" s="22" t="n">
        <f aca="false">IF(AND(A22&gt;=สมมติฐาน!$B$35,A22&lt;=สมมติฐาน!$B$36),สมมติฐาน!$B$34,0)+IF(D22="รับราชการ",0,สมมติฐาน!$B$37)</f>
        <v>1</v>
      </c>
      <c r="O22" s="24" t="n">
        <f aca="false">(1+สมมติฐาน!$B$43)^(A22-1)*(1+สมมติฐาน!$B$44)^(A22-1)</f>
        <v>1.67341811435403</v>
      </c>
      <c r="P22" s="25" t="n">
        <f aca="false">(M22*สมมติฐาน!$B$38+N22*สมมติฐาน!$B$39)*O22</f>
        <v>68610.142688515</v>
      </c>
      <c r="Q22" s="25" t="n">
        <f aca="false">IF(D22="รับราชการ",0,$AB$6*12*(1+สมมติฐาน!$B$46)^(A22-38-1))</f>
        <v>0</v>
      </c>
      <c r="R22" s="25" t="n">
        <f aca="false">IF(C22=สมมติฐาน!$B$8,$AB$7,0)+IF(C22=65,$AB$9,0)+IF(A22=57,$AB$10+$AB$11,0)</f>
        <v>0</v>
      </c>
      <c r="S22" s="25" t="n">
        <f aca="false">G22+H22+I22+J22+K22+L22+P22+Q22+R22</f>
        <v>409997.333338695</v>
      </c>
      <c r="T22" s="25" t="n">
        <f aca="false">S22/E22</f>
        <v>316941.2738669</v>
      </c>
      <c r="U22" s="24" t="n">
        <f aca="false">1/(1+สมมติฐาน!$B$45)^(A22-1)</f>
        <v>0.600574086134678</v>
      </c>
      <c r="V22" s="25" t="n">
        <f aca="false">S22*U22</f>
        <v>246233.773787542</v>
      </c>
    </row>
    <row r="23" customFormat="false" ht="15" hidden="false" customHeight="true" outlineLevel="0" collapsed="false">
      <c r="A23" s="19" t="n">
        <v>15</v>
      </c>
      <c r="B23" s="19" t="n">
        <f aca="false">สมมติฐาน!$B$42+A23-1</f>
        <v>2583</v>
      </c>
      <c r="C23" s="19" t="n">
        <f aca="false">สมมติฐาน!$B$7+A23-1</f>
        <v>36</v>
      </c>
      <c r="D23" s="20" t="str">
        <f aca="false">IF(C23&lt;สมมติฐาน!$B$8,"รับราชการ","รับบำนาญ")</f>
        <v>รับราชการ</v>
      </c>
      <c r="E23" s="21" t="n">
        <f aca="false">(1+สมมติฐาน!$B$43)^(A23-1)</f>
        <v>1.31947876306287</v>
      </c>
      <c r="F23" s="14" t="n">
        <f aca="false">IF(D23="รับราชการ",สมมติฐาน!$B$13*(1+สมมติฐาน!$B$15)^(A23-1)*E23,0)</f>
        <v>26313.8562077077</v>
      </c>
      <c r="G23" s="14" t="n">
        <f aca="false">F23*12</f>
        <v>315766.274492493</v>
      </c>
      <c r="H23" s="14" t="n">
        <f aca="false">IF(D23="รับราชการ",IF(A23&gt;=สมมติฐาน!$B$19,สมมติฐาน!$B$18,IF(A23&gt;=สมมติฐาน!$B$17,สมมติฐาน!$B$16,0))*12*E23,0)</f>
        <v>0</v>
      </c>
      <c r="I23" s="14" t="n">
        <f aca="false">G23*สมมติฐาน!$B$21</f>
        <v>15788.3137246246</v>
      </c>
      <c r="J23" s="14" t="n">
        <f aca="false">IF(AND(D23="รับราชการ",A23&lt;=สมมติฐาน!$B$23),สมมติฐาน!$B$22*12*E23,0)</f>
        <v>0</v>
      </c>
      <c r="K23" s="14" t="n">
        <f aca="false">IF(AND(D23="รับราชการ",A23&gt;=สมมติฐาน!$B$27,A23&lt;สมมติฐาน!$B$27+สมมติฐาน!$B$28),สมมติฐาน!$B$25*สมมติฐาน!$B$26*E23,0)</f>
        <v>15833.7451567545</v>
      </c>
      <c r="L23" s="14" t="n">
        <f aca="false">G23*สมมติฐาน!$B$20</f>
        <v>9472.98823477478</v>
      </c>
      <c r="M23" s="19" t="n">
        <f aca="false">IF(D23="รับราชการ",สมมติฐาน!$B$30+IF(AND(A23&gt;=สมมติฐาน!$B$32,A23&lt;=สมมติฐาน!$B$33),สมมติฐาน!$B$31,0),0)</f>
        <v>2</v>
      </c>
      <c r="N23" s="19" t="n">
        <f aca="false">IF(AND(A23&gt;=สมมติฐาน!$B$35,A23&lt;=สมมติฐาน!$B$36),สมมติฐาน!$B$34,0)+IF(D23="รับราชการ",0,สมมติฐาน!$B$37)</f>
        <v>1</v>
      </c>
      <c r="O23" s="21" t="n">
        <f aca="false">(1+สมมติฐาน!$B$43)^(A23-1)*(1+สมมติฐาน!$B$44)^(A23-1)</f>
        <v>1.74102420617393</v>
      </c>
      <c r="P23" s="14" t="n">
        <f aca="false">(M23*สมมติฐาน!$B$38+N23*สมมติฐาน!$B$39)*O23</f>
        <v>71381.992453131</v>
      </c>
      <c r="Q23" s="14" t="n">
        <f aca="false">IF(D23="รับราชการ",0,$AB$6*12*(1+สมมติฐาน!$B$46)^(A23-38-1))</f>
        <v>0</v>
      </c>
      <c r="R23" s="14" t="n">
        <f aca="false">IF(C23=สมมติฐาน!$B$8,$AB$7,0)+IF(C23=65,$AB$9,0)+IF(A23=57,$AB$10+$AB$11,0)</f>
        <v>0</v>
      </c>
      <c r="S23" s="14" t="n">
        <f aca="false">G23+H23+I23+J23+K23+L23+P23+Q23+R23</f>
        <v>428243.314061777</v>
      </c>
      <c r="T23" s="14" t="n">
        <f aca="false">S23/E23</f>
        <v>324554.91217434</v>
      </c>
      <c r="U23" s="21" t="n">
        <f aca="false">1/(1+สมมติฐาน!$B$45)^(A23-1)</f>
        <v>0.577475082821806</v>
      </c>
      <c r="V23" s="14" t="n">
        <f aca="false">S23*U23</f>
        <v>247299.84325571</v>
      </c>
    </row>
    <row r="24" customFormat="false" ht="15" hidden="false" customHeight="true" outlineLevel="0" collapsed="false">
      <c r="A24" s="22" t="n">
        <v>16</v>
      </c>
      <c r="B24" s="22" t="n">
        <f aca="false">สมมติฐาน!$B$42+A24-1</f>
        <v>2584</v>
      </c>
      <c r="C24" s="22" t="n">
        <f aca="false">สมมติฐาน!$B$7+A24-1</f>
        <v>37</v>
      </c>
      <c r="D24" s="23" t="str">
        <f aca="false">IF(C24&lt;สมมติฐาน!$B$8,"รับราชการ","รับบำนาญ")</f>
        <v>รับราชการ</v>
      </c>
      <c r="E24" s="24" t="n">
        <f aca="false">(1+สมมติฐาน!$B$43)^(A24-1)</f>
        <v>1.34586833832413</v>
      </c>
      <c r="F24" s="25" t="n">
        <f aca="false">IF(D24="รับราชการ",สมมติฐาน!$B$13*(1+สมมติฐาน!$B$15)^(A24-1)*E24,0)</f>
        <v>27538.338258282</v>
      </c>
      <c r="G24" s="25" t="n">
        <f aca="false">F24*12</f>
        <v>330460.059099384</v>
      </c>
      <c r="H24" s="25" t="n">
        <f aca="false">IF(D24="รับราชการ",IF(A24&gt;=สมมติฐาน!$B$19,สมมติฐาน!$B$18,IF(A24&gt;=สมมติฐาน!$B$17,สมมติฐาน!$B$16,0))*12*E24,0)</f>
        <v>0</v>
      </c>
      <c r="I24" s="25" t="n">
        <f aca="false">G24*สมมติฐาน!$B$21</f>
        <v>16523.0029549692</v>
      </c>
      <c r="J24" s="25" t="n">
        <f aca="false">IF(AND(D24="รับราชการ",A24&lt;=สมมติฐาน!$B$23),สมมติฐาน!$B$22*12*E24,0)</f>
        <v>0</v>
      </c>
      <c r="K24" s="25" t="n">
        <f aca="false">IF(AND(D24="รับราชการ",A24&gt;=สมมติฐาน!$B$27,A24&lt;สมมติฐาน!$B$27+สมมติฐาน!$B$28),สมมติฐาน!$B$25*สมมติฐาน!$B$26*E24,0)</f>
        <v>16150.4200598896</v>
      </c>
      <c r="L24" s="25" t="n">
        <f aca="false">G24*สมมติฐาน!$B$20</f>
        <v>9913.80177298151</v>
      </c>
      <c r="M24" s="22" t="n">
        <f aca="false">IF(D24="รับราชการ",สมมติฐาน!$B$30+IF(AND(A24&gt;=สมมติฐาน!$B$32,A24&lt;=สมมติฐาน!$B$33),สมมติฐาน!$B$31,0),0)</f>
        <v>2</v>
      </c>
      <c r="N24" s="22" t="n">
        <f aca="false">IF(AND(A24&gt;=สมมติฐาน!$B$35,A24&lt;=สมมติฐาน!$B$36),สมมติฐาน!$B$34,0)+IF(D24="รับราชการ",0,สมมติฐาน!$B$37)</f>
        <v>1</v>
      </c>
      <c r="O24" s="24" t="n">
        <f aca="false">(1+สมมติฐาน!$B$43)^(A24-1)*(1+สมมติฐาน!$B$44)^(A24-1)</f>
        <v>1.81136158410335</v>
      </c>
      <c r="P24" s="25" t="n">
        <f aca="false">(M24*สมมติฐาน!$B$38+N24*สมมติฐาน!$B$39)*O24</f>
        <v>74265.8249482375</v>
      </c>
      <c r="Q24" s="25" t="n">
        <f aca="false">IF(D24="รับราชการ",0,$AB$6*12*(1+สมมติฐาน!$B$46)^(A24-38-1))</f>
        <v>0</v>
      </c>
      <c r="R24" s="25" t="n">
        <f aca="false">IF(C24=สมมติฐาน!$B$8,$AB$7,0)+IF(C24=65,$AB$9,0)+IF(A24=57,$AB$10+$AB$11,0)</f>
        <v>0</v>
      </c>
      <c r="S24" s="25" t="n">
        <f aca="false">G24+H24+I24+J24+K24+L24+P24+Q24+R24</f>
        <v>447313.108835462</v>
      </c>
      <c r="T24" s="25" t="n">
        <f aca="false">S24/E24</f>
        <v>332360.228781705</v>
      </c>
      <c r="U24" s="24" t="n">
        <f aca="false">1/(1+สมมติฐาน!$B$45)^(A24-1)</f>
        <v>0.555264502713275</v>
      </c>
      <c r="V24" s="25" t="n">
        <f aca="false">S24*U24</f>
        <v>248377.090934652</v>
      </c>
    </row>
    <row r="25" customFormat="false" ht="15" hidden="false" customHeight="true" outlineLevel="0" collapsed="false">
      <c r="A25" s="19" t="n">
        <v>17</v>
      </c>
      <c r="B25" s="19" t="n">
        <f aca="false">สมมติฐาน!$B$42+A25-1</f>
        <v>2585</v>
      </c>
      <c r="C25" s="19" t="n">
        <f aca="false">สมมติฐาน!$B$7+A25-1</f>
        <v>38</v>
      </c>
      <c r="D25" s="20" t="str">
        <f aca="false">IF(C25&lt;สมมติฐาน!$B$8,"รับราชการ","รับบำนาญ")</f>
        <v>รับราชการ</v>
      </c>
      <c r="E25" s="21" t="n">
        <f aca="false">(1+สมมติฐาน!$B$43)^(A25-1)</f>
        <v>1.37278570509061</v>
      </c>
      <c r="F25" s="14" t="n">
        <f aca="false">IF(D25="รับราชการ",สมมติฐาน!$B$13*(1+สมมติฐาน!$B$15)^(A25-1)*E25,0)</f>
        <v>28819.8000339237</v>
      </c>
      <c r="G25" s="14" t="n">
        <f aca="false">F25*12</f>
        <v>345837.600407084</v>
      </c>
      <c r="H25" s="14" t="n">
        <f aca="false">IF(D25="รับราชการ",IF(A25&gt;=สมมติฐาน!$B$19,สมมติฐาน!$B$18,IF(A25&gt;=สมมติฐาน!$B$17,สมมติฐาน!$B$16,0))*12*E25,0)</f>
        <v>0</v>
      </c>
      <c r="I25" s="14" t="n">
        <f aca="false">G25*สมมติฐาน!$B$21</f>
        <v>17291.8800203542</v>
      </c>
      <c r="J25" s="14" t="n">
        <f aca="false">IF(AND(D25="รับราชการ",A25&lt;=สมมติฐาน!$B$23),สมมติฐาน!$B$22*12*E25,0)</f>
        <v>0</v>
      </c>
      <c r="K25" s="14" t="n">
        <f aca="false">IF(AND(D25="รับราชการ",A25&gt;=สมมติฐาน!$B$27,A25&lt;สมมติฐาน!$B$27+สมมติฐาน!$B$28),สมมติฐาน!$B$25*สมมติฐาน!$B$26*E25,0)</f>
        <v>16473.4284610874</v>
      </c>
      <c r="L25" s="14" t="n">
        <f aca="false">G25*สมมติฐาน!$B$20</f>
        <v>10375.1280122125</v>
      </c>
      <c r="M25" s="19" t="n">
        <f aca="false">IF(D25="รับราชการ",สมมติฐาน!$B$30+IF(AND(A25&gt;=สมมติฐาน!$B$32,A25&lt;=สมมติฐาน!$B$33),สมมติฐาน!$B$31,0),0)</f>
        <v>2</v>
      </c>
      <c r="N25" s="19" t="n">
        <f aca="false">IF(AND(A25&gt;=สมมติฐาน!$B$35,A25&lt;=สมมติฐาน!$B$36),สมมติฐาน!$B$34,0)+IF(D25="รับราชการ",0,สมมติฐาน!$B$37)</f>
        <v>1</v>
      </c>
      <c r="O25" s="21" t="n">
        <f aca="false">(1+สมมติฐาน!$B$43)^(A25-1)*(1+สมมติฐาน!$B$44)^(A25-1)</f>
        <v>1.88454059210113</v>
      </c>
      <c r="P25" s="14" t="n">
        <f aca="false">(M25*สมมติฐาน!$B$38+N25*สมมติฐาน!$B$39)*O25</f>
        <v>77266.1642761463</v>
      </c>
      <c r="Q25" s="14" t="n">
        <f aca="false">IF(D25="รับราชการ",0,$AB$6*12*(1+สมมติฐาน!$B$46)^(A25-38-1))</f>
        <v>0</v>
      </c>
      <c r="R25" s="14" t="n">
        <f aca="false">IF(C25=สมมติฐาน!$B$8,$AB$7,0)+IF(C25=65,$AB$9,0)+IF(A25=57,$AB$10+$AB$11,0)</f>
        <v>0</v>
      </c>
      <c r="S25" s="14" t="n">
        <f aca="false">G25+H25+I25+J25+K25+L25+P25+Q25+R25</f>
        <v>467244.201176884</v>
      </c>
      <c r="T25" s="14" t="n">
        <f aca="false">S25/E25</f>
        <v>340362.082329553</v>
      </c>
      <c r="U25" s="21" t="n">
        <f aca="false">1/(1+สมมติฐาน!$B$45)^(A25-1)</f>
        <v>0.533908175685841</v>
      </c>
      <c r="V25" s="14" t="n">
        <f aca="false">S25*U25</f>
        <v>249465.499050138</v>
      </c>
    </row>
    <row r="26" customFormat="false" ht="15" hidden="false" customHeight="true" outlineLevel="0" collapsed="false">
      <c r="A26" s="22" t="n">
        <v>18</v>
      </c>
      <c r="B26" s="22" t="n">
        <f aca="false">สมมติฐาน!$B$42+A26-1</f>
        <v>2586</v>
      </c>
      <c r="C26" s="22" t="n">
        <f aca="false">สมมติฐาน!$B$7+A26-1</f>
        <v>39</v>
      </c>
      <c r="D26" s="23" t="str">
        <f aca="false">IF(C26&lt;สมมติฐาน!$B$8,"รับราชการ","รับบำนาญ")</f>
        <v>รับราชการ</v>
      </c>
      <c r="E26" s="24" t="n">
        <f aca="false">(1+สมมติฐาน!$B$43)^(A26-1)</f>
        <v>1.40024141919242</v>
      </c>
      <c r="F26" s="25" t="n">
        <f aca="false">IF(D26="รับราชการ",สมมติฐาน!$B$13*(1+สมมติฐาน!$B$15)^(A26-1)*E26,0)</f>
        <v>30160.8930141438</v>
      </c>
      <c r="G26" s="25" t="n">
        <f aca="false">F26*12</f>
        <v>361930.716169726</v>
      </c>
      <c r="H26" s="25" t="n">
        <f aca="false">IF(D26="รับราชการ",IF(A26&gt;=สมมติฐาน!$B$19,สมมติฐาน!$B$18,IF(A26&gt;=สมมติฐาน!$B$17,สมมติฐาน!$B$16,0))*12*E26,0)</f>
        <v>0</v>
      </c>
      <c r="I26" s="25" t="n">
        <f aca="false">G26*สมมติฐาน!$B$21</f>
        <v>18096.5358084863</v>
      </c>
      <c r="J26" s="25" t="n">
        <f aca="false">IF(AND(D26="รับราชการ",A26&lt;=สมมติฐาน!$B$23),สมมติฐาน!$B$22*12*E26,0)</f>
        <v>0</v>
      </c>
      <c r="K26" s="25" t="n">
        <f aca="false">IF(AND(D26="รับราชการ",A26&gt;=สมมติฐาน!$B$27,A26&lt;สมมติฐาน!$B$27+สมมติฐาน!$B$28),สมมติฐาน!$B$25*สมมติฐาน!$B$26*E26,0)</f>
        <v>16802.8970303091</v>
      </c>
      <c r="L26" s="25" t="n">
        <f aca="false">G26*สมมติฐาน!$B$20</f>
        <v>10857.9214850918</v>
      </c>
      <c r="M26" s="22" t="n">
        <f aca="false">IF(D26="รับราชการ",สมมติฐาน!$B$30+IF(AND(A26&gt;=สมมติฐาน!$B$32,A26&lt;=สมมติฐาน!$B$33),สมมติฐาน!$B$31,0),0)</f>
        <v>2</v>
      </c>
      <c r="N26" s="22" t="n">
        <f aca="false">IF(AND(A26&gt;=สมมติฐาน!$B$35,A26&lt;=สมมติฐาน!$B$36),สมมติฐาน!$B$34,0)+IF(D26="รับราชการ",0,สมมติฐาน!$B$37)</f>
        <v>1</v>
      </c>
      <c r="O26" s="24" t="n">
        <f aca="false">(1+สมมติฐาน!$B$43)^(A26-1)*(1+สมมติฐาน!$B$44)^(A26-1)</f>
        <v>1.96067603202202</v>
      </c>
      <c r="P26" s="25" t="n">
        <f aca="false">(M26*สมมติฐาน!$B$38+N26*สมมติฐาน!$B$39)*O26</f>
        <v>80387.7173129027</v>
      </c>
      <c r="Q26" s="25" t="n">
        <f aca="false">IF(D26="รับราชการ",0,$AB$6*12*(1+สมมติฐาน!$B$46)^(A26-38-1))</f>
        <v>0</v>
      </c>
      <c r="R26" s="25" t="n">
        <f aca="false">IF(C26=สมมติฐาน!$B$8,$AB$7,0)+IF(C26=65,$AB$9,0)+IF(A26=57,$AB$10+$AB$11,0)</f>
        <v>0</v>
      </c>
      <c r="S26" s="25" t="n">
        <f aca="false">G26+H26+I26+J26+K26+L26+P26+Q26+R26</f>
        <v>488075.787806515</v>
      </c>
      <c r="T26" s="25" t="n">
        <f aca="false">S26/E26</f>
        <v>348565.455296993</v>
      </c>
      <c r="U26" s="24" t="n">
        <f aca="false">1/(1+สมมติฐาน!$B$45)^(A26-1)</f>
        <v>0.51337324585177</v>
      </c>
      <c r="V26" s="25" t="n">
        <f aca="false">S26*U26</f>
        <v>250565.051407891</v>
      </c>
    </row>
    <row r="27" customFormat="false" ht="15" hidden="false" customHeight="true" outlineLevel="0" collapsed="false">
      <c r="A27" s="19" t="n">
        <v>19</v>
      </c>
      <c r="B27" s="19" t="n">
        <f aca="false">สมมติฐาน!$B$42+A27-1</f>
        <v>2587</v>
      </c>
      <c r="C27" s="19" t="n">
        <f aca="false">สมมติฐาน!$B$7+A27-1</f>
        <v>40</v>
      </c>
      <c r="D27" s="20" t="str">
        <f aca="false">IF(C27&lt;สมมติฐาน!$B$8,"รับราชการ","รับบำนาญ")</f>
        <v>รับราชการ</v>
      </c>
      <c r="E27" s="21" t="n">
        <f aca="false">(1+สมมติฐาน!$B$43)^(A27-1)</f>
        <v>1.42824624757627</v>
      </c>
      <c r="F27" s="14" t="n">
        <f aca="false">IF(D27="รับราชการ",สมมติฐาน!$B$13*(1+สมมติฐาน!$B$15)^(A27-1)*E27,0)</f>
        <v>31564.3920617023</v>
      </c>
      <c r="G27" s="14" t="n">
        <f aca="false">F27*12</f>
        <v>378772.704740428</v>
      </c>
      <c r="H27" s="14" t="n">
        <f aca="false">IF(D27="รับราชการ",IF(A27&gt;=สมมติฐาน!$B$19,สมมติฐาน!$B$18,IF(A27&gt;=สมมติฐาน!$B$17,สมมติฐาน!$B$16,0))*12*E27,0)</f>
        <v>0</v>
      </c>
      <c r="I27" s="14" t="n">
        <f aca="false">G27*สมมติฐาน!$B$21</f>
        <v>18938.6352370214</v>
      </c>
      <c r="J27" s="14" t="n">
        <f aca="false">IF(AND(D27="รับราชการ",A27&lt;=สมมติฐาน!$B$23),สมมติฐาน!$B$22*12*E27,0)</f>
        <v>0</v>
      </c>
      <c r="K27" s="14" t="n">
        <f aca="false">IF(AND(D27="รับราชการ",A27&gt;=สมมติฐาน!$B$27,A27&lt;สมมติฐาน!$B$27+สมมติฐาน!$B$28),สมมติฐาน!$B$25*สมมติฐาน!$B$26*E27,0)</f>
        <v>17138.9549709153</v>
      </c>
      <c r="L27" s="14" t="n">
        <f aca="false">G27*สมมติฐาน!$B$20</f>
        <v>11363.1811422128</v>
      </c>
      <c r="M27" s="19" t="n">
        <f aca="false">IF(D27="รับราชการ",สมมติฐาน!$B$30+IF(AND(A27&gt;=สมมติฐาน!$B$32,A27&lt;=สมมติฐาน!$B$33),สมมติฐาน!$B$31,0),0)</f>
        <v>2</v>
      </c>
      <c r="N27" s="19" t="n">
        <f aca="false">IF(AND(A27&gt;=สมมติฐาน!$B$35,A27&lt;=สมมติฐาน!$B$36),สมมติฐาน!$B$34,0)+IF(D27="รับราชการ",0,สมมติฐาน!$B$37)</f>
        <v>1</v>
      </c>
      <c r="O27" s="21" t="n">
        <f aca="false">(1+สมมติฐาน!$B$43)^(A27-1)*(1+สมมติฐาน!$B$44)^(A27-1)</f>
        <v>2.03988734371571</v>
      </c>
      <c r="P27" s="14" t="n">
        <f aca="false">(M27*สมมติฐาน!$B$38+N27*สมมติฐาน!$B$39)*O27</f>
        <v>83635.3810923439</v>
      </c>
      <c r="Q27" s="14" t="n">
        <f aca="false">IF(D27="รับราชการ",0,$AB$6*12*(1+สมมติฐาน!$B$46)^(A27-38-1))</f>
        <v>0</v>
      </c>
      <c r="R27" s="14" t="n">
        <f aca="false">IF(C27=สมมติฐาน!$B$8,$AB$7,0)+IF(C27=65,$AB$9,0)+IF(A27=57,$AB$10+$AB$11,0)</f>
        <v>0</v>
      </c>
      <c r="S27" s="14" t="n">
        <f aca="false">G27+H27+I27+J27+K27+L27+P27+Q27+R27</f>
        <v>509848.857182921</v>
      </c>
      <c r="T27" s="14" t="n">
        <f aca="false">S27/E27</f>
        <v>356975.457172131</v>
      </c>
      <c r="U27" s="21" t="n">
        <f aca="false">1/(1+สมมติฐาน!$B$45)^(A27-1)</f>
        <v>0.493628121011318</v>
      </c>
      <c r="V27" s="14" t="n">
        <f aca="false">S27*U27</f>
        <v>251675.733370973</v>
      </c>
    </row>
    <row r="28" customFormat="false" ht="15" hidden="false" customHeight="true" outlineLevel="0" collapsed="false">
      <c r="A28" s="22" t="n">
        <v>20</v>
      </c>
      <c r="B28" s="22" t="n">
        <f aca="false">สมมติฐาน!$B$42+A28-1</f>
        <v>2588</v>
      </c>
      <c r="C28" s="22" t="n">
        <f aca="false">สมมติฐาน!$B$7+A28-1</f>
        <v>41</v>
      </c>
      <c r="D28" s="23" t="str">
        <f aca="false">IF(C28&lt;สมมติฐาน!$B$8,"รับราชการ","รับบำนาญ")</f>
        <v>รับราชการ</v>
      </c>
      <c r="E28" s="24" t="n">
        <f aca="false">(1+สมมติฐาน!$B$43)^(A28-1)</f>
        <v>1.4568111725278</v>
      </c>
      <c r="F28" s="25" t="n">
        <f aca="false">IF(D28="รับราชการ",สมมติฐาน!$B$13*(1+สมมติฐาน!$B$15)^(A28-1)*E28,0)</f>
        <v>33033.2011640916</v>
      </c>
      <c r="G28" s="25" t="n">
        <f aca="false">F28*12</f>
        <v>396398.413969099</v>
      </c>
      <c r="H28" s="25" t="n">
        <f aca="false">IF(D28="รับราชการ",IF(A28&gt;=สมมติฐาน!$B$19,สมมติฐาน!$B$18,IF(A28&gt;=สมมติฐาน!$B$17,สมมติฐาน!$B$16,0))*12*E28,0)</f>
        <v>0</v>
      </c>
      <c r="I28" s="25" t="n">
        <f aca="false">G28*สมมติฐาน!$B$21</f>
        <v>19819.920698455</v>
      </c>
      <c r="J28" s="25" t="n">
        <f aca="false">IF(AND(D28="รับราชการ",A28&lt;=สมมติฐาน!$B$23),สมมติฐาน!$B$22*12*E28,0)</f>
        <v>0</v>
      </c>
      <c r="K28" s="25" t="n">
        <f aca="false">IF(AND(D28="รับราชการ",A28&gt;=สมมติฐาน!$B$27,A28&lt;สมมติฐาน!$B$27+สมมติฐาน!$B$28),สมมติฐาน!$B$25*สมมติฐาน!$B$26*E28,0)</f>
        <v>17481.7340703336</v>
      </c>
      <c r="L28" s="25" t="n">
        <f aca="false">G28*สมมติฐาน!$B$20</f>
        <v>11891.952419073</v>
      </c>
      <c r="M28" s="22" t="n">
        <f aca="false">IF(D28="รับราชการ",สมมติฐาน!$B$30+IF(AND(A28&gt;=สมมติฐาน!$B$32,A28&lt;=สมมติฐาน!$B$33),สมมติฐาน!$B$31,0),0)</f>
        <v>2</v>
      </c>
      <c r="N28" s="22" t="n">
        <f aca="false">IF(AND(A28&gt;=สมมติฐาน!$B$35,A28&lt;=สมมติฐาน!$B$36),สมมติฐาน!$B$34,0)+IF(D28="รับราชการ",0,สมมติฐาน!$B$37)</f>
        <v>1</v>
      </c>
      <c r="O28" s="24" t="n">
        <f aca="false">(1+สมมติฐาน!$B$43)^(A28-1)*(1+สมมติฐาน!$B$44)^(A28-1)</f>
        <v>2.12229879240182</v>
      </c>
      <c r="P28" s="25" t="n">
        <f aca="false">(M28*สมมติฐาน!$B$38+N28*สมมติฐาน!$B$39)*O28</f>
        <v>87014.2504884746</v>
      </c>
      <c r="Q28" s="25" t="n">
        <f aca="false">IF(D28="รับราชการ",0,$AB$6*12*(1+สมมติฐาน!$B$46)^(A28-38-1))</f>
        <v>0</v>
      </c>
      <c r="R28" s="25" t="n">
        <f aca="false">IF(C28=สมมติฐาน!$B$8,$AB$7,0)+IF(C28=65,$AB$9,0)+IF(A28=57,$AB$10+$AB$11,0)</f>
        <v>0</v>
      </c>
      <c r="S28" s="25" t="n">
        <f aca="false">G28+H28+I28+J28+K28+L28+P28+Q28+R28</f>
        <v>532606.271645435</v>
      </c>
      <c r="T28" s="25" t="n">
        <f aca="false">S28/E28</f>
        <v>365597.32770396</v>
      </c>
      <c r="U28" s="24" t="n">
        <f aca="false">1/(1+สมมติฐาน!$B$45)^(A28-1)</f>
        <v>0.474642424049344</v>
      </c>
      <c r="V28" s="25" t="n">
        <f aca="false">S28*U28</f>
        <v>252797.531837673</v>
      </c>
    </row>
    <row r="29" customFormat="false" ht="15" hidden="false" customHeight="true" outlineLevel="0" collapsed="false">
      <c r="A29" s="19" t="n">
        <v>21</v>
      </c>
      <c r="B29" s="19" t="n">
        <f aca="false">สมมติฐาน!$B$42+A29-1</f>
        <v>2589</v>
      </c>
      <c r="C29" s="19" t="n">
        <f aca="false">สมมติฐาน!$B$7+A29-1</f>
        <v>42</v>
      </c>
      <c r="D29" s="20" t="str">
        <f aca="false">IF(C29&lt;สมมติฐาน!$B$8,"รับราชการ","รับบำนาญ")</f>
        <v>รับราชการ</v>
      </c>
      <c r="E29" s="21" t="n">
        <f aca="false">(1+สมมติฐาน!$B$43)^(A29-1)</f>
        <v>1.48594739597836</v>
      </c>
      <c r="F29" s="14" t="n">
        <f aca="false">IF(D29="รับราชการ",สมมติฐาน!$B$13*(1+สมมติฐาน!$B$15)^(A29-1)*E29,0)</f>
        <v>34570.3594421927</v>
      </c>
      <c r="G29" s="14" t="n">
        <f aca="false">F29*12</f>
        <v>414844.313306312</v>
      </c>
      <c r="H29" s="14" t="n">
        <f aca="false">IF(D29="รับราชการ",IF(A29&gt;=สมมติฐาน!$B$19,สมมติฐาน!$B$18,IF(A29&gt;=สมมติฐาน!$B$17,สมมติฐาน!$B$16,0))*12*E29,0)</f>
        <v>0</v>
      </c>
      <c r="I29" s="14" t="n">
        <f aca="false">G29*สมมติฐาน!$B$21</f>
        <v>20742.2156653156</v>
      </c>
      <c r="J29" s="14" t="n">
        <f aca="false">IF(AND(D29="รับราชการ",A29&lt;=สมมติฐาน!$B$23),สมมติฐาน!$B$22*12*E29,0)</f>
        <v>0</v>
      </c>
      <c r="K29" s="14" t="n">
        <f aca="false">IF(AND(D29="รับราชการ",A29&gt;=สมมติฐาน!$B$27,A29&lt;สมมติฐาน!$B$27+สมมติฐาน!$B$28),สมมติฐาน!$B$25*สมมติฐาน!$B$26*E29,0)</f>
        <v>17831.3687517403</v>
      </c>
      <c r="L29" s="14" t="n">
        <f aca="false">G29*สมมติฐาน!$B$20</f>
        <v>12445.3293991894</v>
      </c>
      <c r="M29" s="19" t="n">
        <f aca="false">IF(D29="รับราชการ",สมมติฐาน!$B$30+IF(AND(A29&gt;=สมมติฐาน!$B$32,A29&lt;=สมมติฐาน!$B$33),สมมติฐาน!$B$31,0),0)</f>
        <v>2</v>
      </c>
      <c r="N29" s="19" t="n">
        <f aca="false">IF(AND(A29&gt;=สมมติฐาน!$B$35,A29&lt;=สมมติฐาน!$B$36),สมมติฐาน!$B$34,0)+IF(D29="รับราชการ",0,สมมติฐาน!$B$37)</f>
        <v>0</v>
      </c>
      <c r="O29" s="21" t="n">
        <f aca="false">(1+สมมติฐาน!$B$43)^(A29-1)*(1+สมมติฐาน!$B$44)^(A29-1)</f>
        <v>2.20803966361485</v>
      </c>
      <c r="P29" s="14" t="n">
        <f aca="false">(M29*สมมติฐาน!$B$38+N29*สมมติฐาน!$B$39)*O29</f>
        <v>35328.6346178377</v>
      </c>
      <c r="Q29" s="14" t="n">
        <f aca="false">IF(D29="รับราชการ",0,$AB$6*12*(1+สมมติฐาน!$B$46)^(A29-38-1))</f>
        <v>0</v>
      </c>
      <c r="R29" s="14" t="n">
        <f aca="false">IF(C29=สมมติฐาน!$B$8,$AB$7,0)+IF(C29=65,$AB$9,0)+IF(A29=57,$AB$10+$AB$11,0)</f>
        <v>0</v>
      </c>
      <c r="S29" s="14" t="n">
        <f aca="false">G29+H29+I29+J29+K29+L29+P29+Q29+R29</f>
        <v>501191.861740395</v>
      </c>
      <c r="T29" s="14" t="n">
        <f aca="false">S29/E29</f>
        <v>337287.755338343</v>
      </c>
      <c r="U29" s="21" t="n">
        <f aca="false">1/(1+สมมติฐาน!$B$45)^(A29-1)</f>
        <v>0.456386946201292</v>
      </c>
      <c r="V29" s="14" t="n">
        <f aca="false">S29*U29</f>
        <v>228737.423240639</v>
      </c>
    </row>
    <row r="30" customFormat="false" ht="15" hidden="false" customHeight="true" outlineLevel="0" collapsed="false">
      <c r="A30" s="22" t="n">
        <v>22</v>
      </c>
      <c r="B30" s="22" t="n">
        <f aca="false">สมมติฐาน!$B$42+A30-1</f>
        <v>2590</v>
      </c>
      <c r="C30" s="22" t="n">
        <f aca="false">สมมติฐาน!$B$7+A30-1</f>
        <v>43</v>
      </c>
      <c r="D30" s="23" t="str">
        <f aca="false">IF(C30&lt;สมมติฐาน!$B$8,"รับราชการ","รับบำนาญ")</f>
        <v>รับราชการ</v>
      </c>
      <c r="E30" s="24" t="n">
        <f aca="false">(1+สมมติฐาน!$B$43)^(A30-1)</f>
        <v>1.51566634389792</v>
      </c>
      <c r="F30" s="25" t="n">
        <f aca="false">IF(D30="รับราชการ",สมมติฐาน!$B$13*(1+สมมติฐาน!$B$15)^(A30-1)*E30,0)</f>
        <v>36179.0474385368</v>
      </c>
      <c r="G30" s="25" t="n">
        <f aca="false">F30*12</f>
        <v>434148.569262442</v>
      </c>
      <c r="H30" s="25" t="n">
        <f aca="false">IF(D30="รับราชการ",IF(A30&gt;=สมมติฐาน!$B$19,สมมติฐาน!$B$18,IF(A30&gt;=สมมติฐาน!$B$17,สมมติฐาน!$B$16,0))*12*E30,0)</f>
        <v>0</v>
      </c>
      <c r="I30" s="25" t="n">
        <f aca="false">G30*สมมติฐาน!$B$21</f>
        <v>21707.4284631221</v>
      </c>
      <c r="J30" s="25" t="n">
        <f aca="false">IF(AND(D30="รับราชการ",A30&lt;=สมมติฐาน!$B$23),สมมติฐาน!$B$22*12*E30,0)</f>
        <v>0</v>
      </c>
      <c r="K30" s="25" t="n">
        <f aca="false">IF(AND(D30="รับราชการ",A30&gt;=สมมติฐาน!$B$27,A30&lt;สมมติฐาน!$B$27+สมมติฐาน!$B$28),สมมติฐาน!$B$25*สมมติฐาน!$B$26*E30,0)</f>
        <v>18187.9961267751</v>
      </c>
      <c r="L30" s="25" t="n">
        <f aca="false">G30*สมมติฐาน!$B$20</f>
        <v>13024.4570778733</v>
      </c>
      <c r="M30" s="22" t="n">
        <f aca="false">IF(D30="รับราชการ",สมมติฐาน!$B$30+IF(AND(A30&gt;=สมมติฐาน!$B$32,A30&lt;=สมมติฐาน!$B$33),สมมติฐาน!$B$31,0),0)</f>
        <v>2</v>
      </c>
      <c r="N30" s="22" t="n">
        <f aca="false">IF(AND(A30&gt;=สมมติฐาน!$B$35,A30&lt;=สมมติฐาน!$B$36),สมมติฐาน!$B$34,0)+IF(D30="รับราชการ",0,สมมติฐาน!$B$37)</f>
        <v>0</v>
      </c>
      <c r="O30" s="24" t="n">
        <f aca="false">(1+สมมติฐาน!$B$43)^(A30-1)*(1+สมมติฐาน!$B$44)^(A30-1)</f>
        <v>2.29724446602489</v>
      </c>
      <c r="P30" s="25" t="n">
        <f aca="false">(M30*สมมติฐาน!$B$38+N30*สมมติฐาน!$B$39)*O30</f>
        <v>36755.9114563983</v>
      </c>
      <c r="Q30" s="25" t="n">
        <f aca="false">IF(D30="รับราชการ",0,$AB$6*12*(1+สมมติฐาน!$B$46)^(A30-38-1))</f>
        <v>0</v>
      </c>
      <c r="R30" s="25" t="n">
        <f aca="false">IF(C30=สมมติฐาน!$B$8,$AB$7,0)+IF(C30=65,$AB$9,0)+IF(A30=57,$AB$10+$AB$11,0)</f>
        <v>0</v>
      </c>
      <c r="S30" s="25" t="n">
        <f aca="false">G30+H30+I30+J30+K30+L30+P30+Q30+R30</f>
        <v>523824.362386611</v>
      </c>
      <c r="T30" s="25" t="n">
        <f aca="false">S30/E30</f>
        <v>345606.646539015</v>
      </c>
      <c r="U30" s="24" t="n">
        <f aca="false">1/(1+สมมติฐาน!$B$45)^(A30-1)</f>
        <v>0.438833602116627</v>
      </c>
      <c r="V30" s="25" t="n">
        <f aca="false">S30*U30</f>
        <v>229871.731822562</v>
      </c>
    </row>
    <row r="31" customFormat="false" ht="15" hidden="false" customHeight="true" outlineLevel="0" collapsed="false">
      <c r="A31" s="19" t="n">
        <v>23</v>
      </c>
      <c r="B31" s="19" t="n">
        <f aca="false">สมมติฐาน!$B$42+A31-1</f>
        <v>2591</v>
      </c>
      <c r="C31" s="19" t="n">
        <f aca="false">สมมติฐาน!$B$7+A31-1</f>
        <v>44</v>
      </c>
      <c r="D31" s="20" t="str">
        <f aca="false">IF(C31&lt;สมมติฐาน!$B$8,"รับราชการ","รับบำนาญ")</f>
        <v>รับราชการ</v>
      </c>
      <c r="E31" s="21" t="n">
        <f aca="false">(1+สมมติฐาน!$B$43)^(A31-1)</f>
        <v>1.54597967077588</v>
      </c>
      <c r="F31" s="14" t="n">
        <f aca="false">IF(D31="รับราชการ",สมมติฐาน!$B$13*(1+สมมติฐาน!$B$15)^(A31-1)*E31,0)</f>
        <v>37862.5936981834</v>
      </c>
      <c r="G31" s="14" t="n">
        <f aca="false">F31*12</f>
        <v>454351.1243782</v>
      </c>
      <c r="H31" s="14" t="n">
        <f aca="false">IF(D31="รับราชการ",IF(A31&gt;=สมมติฐาน!$B$19,สมมติฐาน!$B$18,IF(A31&gt;=สมมติฐาน!$B$17,สมมติฐาน!$B$16,0))*12*E31,0)</f>
        <v>0</v>
      </c>
      <c r="I31" s="14" t="n">
        <f aca="false">G31*สมมติฐาน!$B$21</f>
        <v>22717.55621891</v>
      </c>
      <c r="J31" s="14" t="n">
        <f aca="false">IF(AND(D31="รับราชการ",A31&lt;=สมมติฐาน!$B$23),สมมติฐาน!$B$22*12*E31,0)</f>
        <v>0</v>
      </c>
      <c r="K31" s="14" t="n">
        <f aca="false">IF(AND(D31="รับราชการ",A31&gt;=สมมติฐาน!$B$27,A31&lt;สมมติฐาน!$B$27+สมมติฐาน!$B$28),สมมติฐาน!$B$25*สมมติฐาน!$B$26*E31,0)</f>
        <v>18551.7560493106</v>
      </c>
      <c r="L31" s="14" t="n">
        <f aca="false">G31*สมมติฐาน!$B$20</f>
        <v>13630.533731346</v>
      </c>
      <c r="M31" s="19" t="n">
        <f aca="false">IF(D31="รับราชการ",สมมติฐาน!$B$30+IF(AND(A31&gt;=สมมติฐาน!$B$32,A31&lt;=สมมติฐาน!$B$33),สมมติฐาน!$B$31,0),0)</f>
        <v>2</v>
      </c>
      <c r="N31" s="19" t="n">
        <f aca="false">IF(AND(A31&gt;=สมมติฐาน!$B$35,A31&lt;=สมมติฐาน!$B$36),สมมติฐาน!$B$34,0)+IF(D31="รับราชการ",0,สมมติฐาน!$B$37)</f>
        <v>0</v>
      </c>
      <c r="O31" s="21" t="n">
        <f aca="false">(1+สมมติฐาน!$B$43)^(A31-1)*(1+สมมติฐาน!$B$44)^(A31-1)</f>
        <v>2.3900531424523</v>
      </c>
      <c r="P31" s="14" t="n">
        <f aca="false">(M31*สมมติฐาน!$B$38+N31*สมมติฐาน!$B$39)*O31</f>
        <v>38240.8502792368</v>
      </c>
      <c r="Q31" s="14" t="n">
        <f aca="false">IF(D31="รับราชการ",0,$AB$6*12*(1+สมมติฐาน!$B$46)^(A31-38-1))</f>
        <v>0</v>
      </c>
      <c r="R31" s="14" t="n">
        <f aca="false">IF(C31=สมมติฐาน!$B$8,$AB$7,0)+IF(C31=65,$AB$9,0)+IF(A31=57,$AB$10+$AB$11,0)</f>
        <v>0</v>
      </c>
      <c r="S31" s="14" t="n">
        <f aca="false">G31+H31+I31+J31+K31+L31+P31+Q31+R31</f>
        <v>547491.820657004</v>
      </c>
      <c r="T31" s="14" t="n">
        <f aca="false">S31/E31</f>
        <v>354139.081519898</v>
      </c>
      <c r="U31" s="21" t="n">
        <f aca="false">1/(1+สมมติฐาน!$B$45)^(A31-1)</f>
        <v>0.421955386650603</v>
      </c>
      <c r="V31" s="14" t="n">
        <f aca="false">S31*U31</f>
        <v>231017.122873369</v>
      </c>
    </row>
    <row r="32" customFormat="false" ht="15" hidden="false" customHeight="true" outlineLevel="0" collapsed="false">
      <c r="A32" s="22" t="n">
        <v>24</v>
      </c>
      <c r="B32" s="22" t="n">
        <f aca="false">สมมติฐาน!$B$42+A32-1</f>
        <v>2592</v>
      </c>
      <c r="C32" s="22" t="n">
        <f aca="false">สมมติฐาน!$B$7+A32-1</f>
        <v>45</v>
      </c>
      <c r="D32" s="23" t="str">
        <f aca="false">IF(C32&lt;สมมติฐาน!$B$8,"รับราชการ","รับบำนาญ")</f>
        <v>รับราชการ</v>
      </c>
      <c r="E32" s="24" t="n">
        <f aca="false">(1+สมมติฐาน!$B$43)^(A32-1)</f>
        <v>1.5768992641914</v>
      </c>
      <c r="F32" s="25" t="n">
        <f aca="false">IF(D32="รับราชการ",สมมติฐาน!$B$13*(1+สมมติฐาน!$B$15)^(A32-1)*E32,0)</f>
        <v>39624.4816558303</v>
      </c>
      <c r="G32" s="25" t="n">
        <f aca="false">F32*12</f>
        <v>475493.779869963</v>
      </c>
      <c r="H32" s="25" t="n">
        <f aca="false">IF(D32="รับราชการ",IF(A32&gt;=สมมติฐาน!$B$19,สมมติฐาน!$B$18,IF(A32&gt;=สมมติฐาน!$B$17,สมมติฐาน!$B$16,0))*12*E32,0)</f>
        <v>0</v>
      </c>
      <c r="I32" s="25" t="n">
        <f aca="false">G32*สมมติฐาน!$B$21</f>
        <v>23774.6889934982</v>
      </c>
      <c r="J32" s="25" t="n">
        <f aca="false">IF(AND(D32="รับราชการ",A32&lt;=สมมติฐาน!$B$23),สมมติฐาน!$B$22*12*E32,0)</f>
        <v>0</v>
      </c>
      <c r="K32" s="25" t="n">
        <f aca="false">IF(AND(D32="รับราชการ",A32&gt;=สมมติฐาน!$B$27,A32&lt;สมมติฐาน!$B$27+สมมติฐาน!$B$28),สมมติฐาน!$B$25*สมมติฐาน!$B$26*E32,0)</f>
        <v>18922.7911702968</v>
      </c>
      <c r="L32" s="25" t="n">
        <f aca="false">G32*สมมติฐาน!$B$20</f>
        <v>14264.8133960989</v>
      </c>
      <c r="M32" s="22" t="n">
        <f aca="false">IF(D32="รับราชการ",สมมติฐาน!$B$30+IF(AND(A32&gt;=สมมติฐาน!$B$32,A32&lt;=สมมติฐาน!$B$33),สมมติฐาน!$B$31,0),0)</f>
        <v>2</v>
      </c>
      <c r="N32" s="22" t="n">
        <f aca="false">IF(AND(A32&gt;=สมมติฐาน!$B$35,A32&lt;=สมมติฐาน!$B$36),สมมติฐาน!$B$34,0)+IF(D32="รับราชการ",0,สมมติฐาน!$B$37)</f>
        <v>0</v>
      </c>
      <c r="O32" s="24" t="n">
        <f aca="false">(1+สมมติฐาน!$B$43)^(A32-1)*(1+สมมติฐาน!$B$44)^(A32-1)</f>
        <v>2.48661128940737</v>
      </c>
      <c r="P32" s="25" t="n">
        <f aca="false">(M32*สมมติฐาน!$B$38+N32*สมมติฐาน!$B$39)*O32</f>
        <v>39785.780630518</v>
      </c>
      <c r="Q32" s="25" t="n">
        <f aca="false">IF(D32="รับราชการ",0,$AB$6*12*(1+สมมติฐาน!$B$46)^(A32-38-1))</f>
        <v>0</v>
      </c>
      <c r="R32" s="25" t="n">
        <f aca="false">IF(C32=สมมติฐาน!$B$8,$AB$7,0)+IF(C32=65,$AB$9,0)+IF(A32=57,$AB$10+$AB$11,0)</f>
        <v>0</v>
      </c>
      <c r="S32" s="25" t="n">
        <f aca="false">G32+H32+I32+J32+K32+L32+P32+Q32+R32</f>
        <v>572241.854060375</v>
      </c>
      <c r="T32" s="25" t="n">
        <f aca="false">S32/E32</f>
        <v>362890.558106645</v>
      </c>
      <c r="U32" s="24" t="n">
        <f aca="false">1/(1+สมมติฐาน!$B$45)^(A32-1)</f>
        <v>0.405726333317887</v>
      </c>
      <c r="V32" s="25" t="n">
        <f aca="false">S32*U32</f>
        <v>232173.589218946</v>
      </c>
    </row>
    <row r="33" customFormat="false" ht="15" hidden="false" customHeight="true" outlineLevel="0" collapsed="false">
      <c r="A33" s="19" t="n">
        <v>25</v>
      </c>
      <c r="B33" s="19" t="n">
        <f aca="false">สมมติฐาน!$B$42+A33-1</f>
        <v>2593</v>
      </c>
      <c r="C33" s="19" t="n">
        <f aca="false">สมมติฐาน!$B$7+A33-1</f>
        <v>46</v>
      </c>
      <c r="D33" s="20" t="str">
        <f aca="false">IF(C33&lt;สมมติฐาน!$B$8,"รับราชการ","รับบำนาญ")</f>
        <v>รับราชการ</v>
      </c>
      <c r="E33" s="21" t="n">
        <f aca="false">(1+สมมติฐาน!$B$43)^(A33-1)</f>
        <v>1.60843724947523</v>
      </c>
      <c r="F33" s="14" t="n">
        <f aca="false">IF(D33="รับราชการ",สมมติฐาน!$B$13*(1+สมมติฐาน!$B$15)^(A33-1)*E33,0)</f>
        <v>41468.3568434077</v>
      </c>
      <c r="G33" s="14" t="n">
        <f aca="false">F33*12</f>
        <v>497620.282120893</v>
      </c>
      <c r="H33" s="14" t="n">
        <f aca="false">IF(D33="รับราชการ",IF(A33&gt;=สมมติฐาน!$B$19,สมมติฐาน!$B$18,IF(A33&gt;=สมมติฐาน!$B$17,สมมติฐาน!$B$16,0))*12*E33,0)</f>
        <v>0</v>
      </c>
      <c r="I33" s="14" t="n">
        <f aca="false">G33*สมมติฐาน!$B$21</f>
        <v>24881.0141060446</v>
      </c>
      <c r="J33" s="14" t="n">
        <f aca="false">IF(AND(D33="รับราชการ",A33&lt;=สมมติฐาน!$B$23),สมมติฐาน!$B$22*12*E33,0)</f>
        <v>0</v>
      </c>
      <c r="K33" s="14" t="n">
        <f aca="false">IF(AND(D33="รับราชการ",A33&gt;=สมมติฐาน!$B$27,A33&lt;สมมติฐาน!$B$27+สมมติฐาน!$B$28),สมมติฐาน!$B$25*สมมติฐาน!$B$26*E33,0)</f>
        <v>0</v>
      </c>
      <c r="L33" s="14" t="n">
        <f aca="false">G33*สมมติฐาน!$B$20</f>
        <v>14928.6084636268</v>
      </c>
      <c r="M33" s="19" t="n">
        <f aca="false">IF(D33="รับราชการ",สมมติฐาน!$B$30+IF(AND(A33&gt;=สมมติฐาน!$B$32,A33&lt;=สมมติฐาน!$B$33),สมมติฐาน!$B$31,0),0)</f>
        <v>2</v>
      </c>
      <c r="N33" s="19" t="n">
        <f aca="false">IF(AND(A33&gt;=สมมติฐาน!$B$35,A33&lt;=สมมติฐาน!$B$36),สมมติฐาน!$B$34,0)+IF(D33="รับราชการ",0,สมมติฐาน!$B$37)</f>
        <v>0</v>
      </c>
      <c r="O33" s="21" t="n">
        <f aca="false">(1+สมมติฐาน!$B$43)^(A33-1)*(1+สมมติฐาน!$B$44)^(A33-1)</f>
        <v>2.58707038549943</v>
      </c>
      <c r="P33" s="14" t="n">
        <f aca="false">(M33*สมมติฐาน!$B$38+N33*สมมติฐาน!$B$39)*O33</f>
        <v>41393.1261679909</v>
      </c>
      <c r="Q33" s="14" t="n">
        <f aca="false">IF(D33="รับราชการ",0,$AB$6*12*(1+สมมติฐาน!$B$46)^(A33-38-1))</f>
        <v>0</v>
      </c>
      <c r="R33" s="14" t="n">
        <f aca="false">IF(C33=สมมติฐาน!$B$8,$AB$7,0)+IF(C33=65,$AB$9,0)+IF(A33=57,$AB$10+$AB$11,0)</f>
        <v>0</v>
      </c>
      <c r="S33" s="14" t="n">
        <f aca="false">G33+H33+I33+J33+K33+L33+P33+Q33+R33</f>
        <v>578823.030858555</v>
      </c>
      <c r="T33" s="14" t="n">
        <f aca="false">S33/E33</f>
        <v>359866.715998652</v>
      </c>
      <c r="U33" s="21" t="n">
        <f aca="false">1/(1+สมมติฐาน!$B$45)^(A33-1)</f>
        <v>0.390121474344123</v>
      </c>
      <c r="V33" s="14" t="n">
        <f aca="false">S33*U33</f>
        <v>225811.294182873</v>
      </c>
    </row>
    <row r="34" customFormat="false" ht="15" hidden="false" customHeight="true" outlineLevel="0" collapsed="false">
      <c r="A34" s="22" t="n">
        <v>26</v>
      </c>
      <c r="B34" s="22" t="n">
        <f aca="false">สมมติฐาน!$B$42+A34-1</f>
        <v>2594</v>
      </c>
      <c r="C34" s="22" t="n">
        <f aca="false">สมมติฐาน!$B$7+A34-1</f>
        <v>47</v>
      </c>
      <c r="D34" s="23" t="str">
        <f aca="false">IF(C34&lt;สมมติฐาน!$B$8,"รับราชการ","รับบำนาญ")</f>
        <v>รับราชการ</v>
      </c>
      <c r="E34" s="24" t="n">
        <f aca="false">(1+สมมติฐาน!$B$43)^(A34-1)</f>
        <v>1.64060599446473</v>
      </c>
      <c r="F34" s="25" t="n">
        <f aca="false">IF(D34="รับราชการ",สมมติฐาน!$B$13*(1+สมมติฐาน!$B$15)^(A34-1)*E34,0)</f>
        <v>43398.0344330682</v>
      </c>
      <c r="G34" s="25" t="n">
        <f aca="false">F34*12</f>
        <v>520776.413196818</v>
      </c>
      <c r="H34" s="25" t="n">
        <f aca="false">IF(D34="รับราชการ",IF(A34&gt;=สมมติฐาน!$B$19,สมมติฐาน!$B$18,IF(A34&gt;=สมมติฐาน!$B$17,สมมติฐาน!$B$16,0))*12*E34,0)</f>
        <v>0</v>
      </c>
      <c r="I34" s="25" t="n">
        <f aca="false">G34*สมมติฐาน!$B$21</f>
        <v>26038.8206598409</v>
      </c>
      <c r="J34" s="25" t="n">
        <f aca="false">IF(AND(D34="รับราชการ",A34&lt;=สมมติฐาน!$B$23),สมมติฐาน!$B$22*12*E34,0)</f>
        <v>0</v>
      </c>
      <c r="K34" s="25" t="n">
        <f aca="false">IF(AND(D34="รับราชการ",A34&gt;=สมมติฐาน!$B$27,A34&lt;สมมติฐาน!$B$27+สมมติฐาน!$B$28),สมมติฐาน!$B$25*สมมติฐาน!$B$26*E34,0)</f>
        <v>0</v>
      </c>
      <c r="L34" s="25" t="n">
        <f aca="false">G34*สมมติฐาน!$B$20</f>
        <v>15623.2923959045</v>
      </c>
      <c r="M34" s="22" t="n">
        <f aca="false">IF(D34="รับราชการ",สมมติฐาน!$B$30+IF(AND(A34&gt;=สมมติฐาน!$B$32,A34&lt;=สมมติฐาน!$B$33),สมมติฐาน!$B$31,0),0)</f>
        <v>2</v>
      </c>
      <c r="N34" s="22" t="n">
        <f aca="false">IF(AND(A34&gt;=สมมติฐาน!$B$35,A34&lt;=สมมติฐาน!$B$36),สมมติฐาน!$B$34,0)+IF(D34="รับราชการ",0,สมมติฐาน!$B$37)</f>
        <v>0</v>
      </c>
      <c r="O34" s="24" t="n">
        <f aca="false">(1+สมมติฐาน!$B$43)^(A34-1)*(1+สมมติฐาน!$B$44)^(A34-1)</f>
        <v>2.69158802907361</v>
      </c>
      <c r="P34" s="25" t="n">
        <f aca="false">(M34*สมมติฐาน!$B$38+N34*สมมติฐาน!$B$39)*O34</f>
        <v>43065.4084651777</v>
      </c>
      <c r="Q34" s="25" t="n">
        <f aca="false">IF(D34="รับราชการ",0,$AB$6*12*(1+สมมติฐาน!$B$46)^(A34-38-1))</f>
        <v>0</v>
      </c>
      <c r="R34" s="25" t="n">
        <f aca="false">IF(C34=สมมติฐาน!$B$8,$AB$7,0)+IF(C34=65,$AB$9,0)+IF(A34=57,$AB$10+$AB$11,0)</f>
        <v>0</v>
      </c>
      <c r="S34" s="25" t="n">
        <f aca="false">G34+H34+I34+J34+K34+L34+P34+Q34+R34</f>
        <v>605503.934717741</v>
      </c>
      <c r="T34" s="25" t="n">
        <f aca="false">S34/E34</f>
        <v>369073.340436803</v>
      </c>
      <c r="U34" s="24" t="n">
        <f aca="false">1/(1+สมมติฐาน!$B$45)^(A34-1)</f>
        <v>0.375116802253964</v>
      </c>
      <c r="V34" s="25" t="n">
        <f aca="false">S34*U34</f>
        <v>227134.699743512</v>
      </c>
    </row>
    <row r="35" customFormat="false" ht="15" hidden="false" customHeight="true" outlineLevel="0" collapsed="false">
      <c r="A35" s="19" t="n">
        <v>27</v>
      </c>
      <c r="B35" s="19" t="n">
        <f aca="false">สมมติฐาน!$B$42+A35-1</f>
        <v>2595</v>
      </c>
      <c r="C35" s="19" t="n">
        <f aca="false">สมมติฐาน!$B$7+A35-1</f>
        <v>48</v>
      </c>
      <c r="D35" s="20" t="str">
        <f aca="false">IF(C35&lt;สมมติฐาน!$B$8,"รับราชการ","รับบำนาญ")</f>
        <v>รับราชการ</v>
      </c>
      <c r="E35" s="21" t="n">
        <f aca="false">(1+สมมติฐาน!$B$43)^(A35-1)</f>
        <v>1.67341811435403</v>
      </c>
      <c r="F35" s="14" t="n">
        <f aca="false">IF(D35="รับราชการ",สมมติฐาน!$B$13*(1+สมมติฐาน!$B$15)^(A35-1)*E35,0)</f>
        <v>45417.5071311796</v>
      </c>
      <c r="G35" s="14" t="n">
        <f aca="false">F35*12</f>
        <v>545010.085574155</v>
      </c>
      <c r="H35" s="14" t="n">
        <f aca="false">IF(D35="รับราชการ",IF(A35&gt;=สมมติฐาน!$B$19,สมมติฐาน!$B$18,IF(A35&gt;=สมมติฐาน!$B$17,สมมติฐาน!$B$16,0))*12*E35,0)</f>
        <v>0</v>
      </c>
      <c r="I35" s="14" t="n">
        <f aca="false">G35*สมมติฐาน!$B$21</f>
        <v>27250.5042787078</v>
      </c>
      <c r="J35" s="14" t="n">
        <f aca="false">IF(AND(D35="รับราชการ",A35&lt;=สมมติฐาน!$B$23),สมมติฐาน!$B$22*12*E35,0)</f>
        <v>0</v>
      </c>
      <c r="K35" s="14" t="n">
        <f aca="false">IF(AND(D35="รับราชการ",A35&gt;=สมมติฐาน!$B$27,A35&lt;สมมติฐาน!$B$27+สมมติฐาน!$B$28),สมมติฐาน!$B$25*สมมติฐาน!$B$26*E35,0)</f>
        <v>0</v>
      </c>
      <c r="L35" s="14" t="n">
        <f aca="false">G35*สมมติฐาน!$B$20</f>
        <v>16350.3025672247</v>
      </c>
      <c r="M35" s="19" t="n">
        <f aca="false">IF(D35="รับราชการ",สมมติฐาน!$B$30+IF(AND(A35&gt;=สมมติฐาน!$B$32,A35&lt;=สมมติฐาน!$B$33),สมมติฐาน!$B$31,0),0)</f>
        <v>2</v>
      </c>
      <c r="N35" s="19" t="n">
        <f aca="false">IF(AND(A35&gt;=สมมติฐาน!$B$35,A35&lt;=สมมติฐาน!$B$36),สมมติฐาน!$B$34,0)+IF(D35="รับราชการ",0,สมมติฐาน!$B$37)</f>
        <v>0</v>
      </c>
      <c r="O35" s="21" t="n">
        <f aca="false">(1+สมมติฐาน!$B$43)^(A35-1)*(1+สมมติฐาน!$B$44)^(A35-1)</f>
        <v>2.80032818544818</v>
      </c>
      <c r="P35" s="14" t="n">
        <f aca="false">(M35*สมมติฐาน!$B$38+N35*สมมติฐาน!$B$39)*O35</f>
        <v>44805.2509671709</v>
      </c>
      <c r="Q35" s="14" t="n">
        <f aca="false">IF(D35="รับราชการ",0,$AB$6*12*(1+สมมติฐาน!$B$46)^(A35-38-1))</f>
        <v>0</v>
      </c>
      <c r="R35" s="14" t="n">
        <f aca="false">IF(C35=สมมติฐาน!$B$8,$AB$7,0)+IF(C35=65,$AB$9,0)+IF(A35=57,$AB$10+$AB$11,0)</f>
        <v>0</v>
      </c>
      <c r="S35" s="14" t="n">
        <f aca="false">G35+H35+I35+J35+K35+L35+P35+Q35+R35</f>
        <v>633416.143387259</v>
      </c>
      <c r="T35" s="14" t="n">
        <f aca="false">S35/E35</f>
        <v>378516.365966177</v>
      </c>
      <c r="U35" s="21" t="n">
        <f aca="false">1/(1+สมมติฐาน!$B$45)^(A35-1)</f>
        <v>0.360689232936504</v>
      </c>
      <c r="V35" s="14" t="n">
        <f aca="false">S35*U35</f>
        <v>228466.382887949</v>
      </c>
    </row>
    <row r="36" customFormat="false" ht="15" hidden="false" customHeight="true" outlineLevel="0" collapsed="false">
      <c r="A36" s="22" t="n">
        <v>28</v>
      </c>
      <c r="B36" s="22" t="n">
        <f aca="false">สมมติฐาน!$B$42+A36-1</f>
        <v>2596</v>
      </c>
      <c r="C36" s="22" t="n">
        <f aca="false">สมมติฐาน!$B$7+A36-1</f>
        <v>49</v>
      </c>
      <c r="D36" s="23" t="str">
        <f aca="false">IF(C36&lt;สมมติฐาน!$B$8,"รับราชการ","รับบำนาญ")</f>
        <v>รับราชการ</v>
      </c>
      <c r="E36" s="24" t="n">
        <f aca="false">(1+สมมติฐาน!$B$43)^(A36-1)</f>
        <v>1.70688647664111</v>
      </c>
      <c r="F36" s="25" t="n">
        <f aca="false">IF(D36="รับราชการ",สมมติฐาน!$B$13*(1+สมมติฐาน!$B$15)^(A36-1)*E36,0)</f>
        <v>47530.953439656</v>
      </c>
      <c r="G36" s="25" t="n">
        <f aca="false">F36*12</f>
        <v>570371.441275872</v>
      </c>
      <c r="H36" s="25" t="n">
        <f aca="false">IF(D36="รับราชการ",IF(A36&gt;=สมมติฐาน!$B$19,สมมติฐาน!$B$18,IF(A36&gt;=สมมติฐาน!$B$17,สมมติฐาน!$B$16,0))*12*E36,0)</f>
        <v>0</v>
      </c>
      <c r="I36" s="25" t="n">
        <f aca="false">G36*สมมติฐาน!$B$21</f>
        <v>28518.5720637936</v>
      </c>
      <c r="J36" s="25" t="n">
        <f aca="false">IF(AND(D36="รับราชการ",A36&lt;=สมมติฐาน!$B$23),สมมติฐาน!$B$22*12*E36,0)</f>
        <v>0</v>
      </c>
      <c r="K36" s="25" t="n">
        <f aca="false">IF(AND(D36="รับราชการ",A36&gt;=สมมติฐาน!$B$27,A36&lt;สมมติฐาน!$B$27+สมมติฐาน!$B$28),สมมติฐาน!$B$25*สมมติฐาน!$B$26*E36,0)</f>
        <v>0</v>
      </c>
      <c r="L36" s="25" t="n">
        <f aca="false">G36*สมมติฐาน!$B$20</f>
        <v>17111.1432382762</v>
      </c>
      <c r="M36" s="22" t="n">
        <f aca="false">IF(D36="รับราชการ",สมมติฐาน!$B$30+IF(AND(A36&gt;=สมมติฐาน!$B$32,A36&lt;=สมมติฐาน!$B$33),สมมติฐาน!$B$31,0),0)</f>
        <v>2</v>
      </c>
      <c r="N36" s="22" t="n">
        <f aca="false">IF(AND(A36&gt;=สมมติฐาน!$B$35,A36&lt;=สมมติฐาน!$B$36),สมมติฐาน!$B$34,0)+IF(D36="รับราชการ",0,สมมติฐาน!$B$37)</f>
        <v>0</v>
      </c>
      <c r="O36" s="24" t="n">
        <f aca="false">(1+สมมติฐาน!$B$43)^(A36-1)*(1+สมมติฐาน!$B$44)^(A36-1)</f>
        <v>2.91346144414029</v>
      </c>
      <c r="P36" s="25" t="n">
        <f aca="false">(M36*สมมติฐาน!$B$38+N36*สมมติฐาน!$B$39)*O36</f>
        <v>46615.3831062446</v>
      </c>
      <c r="Q36" s="25" t="n">
        <f aca="false">IF(D36="รับราชการ",0,$AB$6*12*(1+สมมติฐาน!$B$46)^(A36-38-1))</f>
        <v>0</v>
      </c>
      <c r="R36" s="25" t="n">
        <f aca="false">IF(C36=สมมติฐาน!$B$8,$AB$7,0)+IF(C36=65,$AB$9,0)+IF(A36=57,$AB$10+$AB$11,0)</f>
        <v>0</v>
      </c>
      <c r="S36" s="25" t="n">
        <f aca="false">G36+H36+I36+J36+K36+L36+P36+Q36+R36</f>
        <v>662616.539684186</v>
      </c>
      <c r="T36" s="25" t="n">
        <f aca="false">S36/E36</f>
        <v>388201.880296173</v>
      </c>
      <c r="U36" s="24" t="n">
        <f aca="false">1/(1+สมมติฐาน!$B$45)^(A36-1)</f>
        <v>0.346816570131254</v>
      </c>
      <c r="V36" s="25" t="n">
        <f aca="false">S36*U36</f>
        <v>229806.395605509</v>
      </c>
    </row>
    <row r="37" customFormat="false" ht="15" hidden="false" customHeight="true" outlineLevel="0" collapsed="false">
      <c r="A37" s="19" t="n">
        <v>29</v>
      </c>
      <c r="B37" s="19" t="n">
        <f aca="false">สมมติฐาน!$B$42+A37-1</f>
        <v>2597</v>
      </c>
      <c r="C37" s="19" t="n">
        <f aca="false">สมมติฐาน!$B$7+A37-1</f>
        <v>50</v>
      </c>
      <c r="D37" s="20" t="str">
        <f aca="false">IF(C37&lt;สมมติฐาน!$B$8,"รับราชการ","รับบำนาญ")</f>
        <v>รับราชการ</v>
      </c>
      <c r="E37" s="21" t="n">
        <f aca="false">(1+สมมติฐาน!$B$43)^(A37-1)</f>
        <v>1.74102420617393</v>
      </c>
      <c r="F37" s="14" t="n">
        <f aca="false">IF(D37="รับราชการ",สมมติฐาน!$B$13*(1+สมมติฐาน!$B$15)^(A37-1)*E37,0)</f>
        <v>49742.7463017182</v>
      </c>
      <c r="G37" s="14" t="n">
        <f aca="false">F37*12</f>
        <v>596912.955620619</v>
      </c>
      <c r="H37" s="14" t="n">
        <f aca="false">IF(D37="รับราชการ",IF(A37&gt;=สมมติฐาน!$B$19,สมมติฐาน!$B$18,IF(A37&gt;=สมมติฐาน!$B$17,สมมติฐาน!$B$16,0))*12*E37,0)</f>
        <v>0</v>
      </c>
      <c r="I37" s="14" t="n">
        <f aca="false">G37*สมมติฐาน!$B$21</f>
        <v>29845.6477810309</v>
      </c>
      <c r="J37" s="14" t="n">
        <f aca="false">IF(AND(D37="รับราชการ",A37&lt;=สมมติฐาน!$B$23),สมมติฐาน!$B$22*12*E37,0)</f>
        <v>0</v>
      </c>
      <c r="K37" s="14" t="n">
        <f aca="false">IF(AND(D37="รับราชการ",A37&gt;=สมมติฐาน!$B$27,A37&lt;สมมติฐาน!$B$27+สมมติฐาน!$B$28),สมมติฐาน!$B$25*สมมติฐาน!$B$26*E37,0)</f>
        <v>0</v>
      </c>
      <c r="L37" s="14" t="n">
        <f aca="false">G37*สมมติฐาน!$B$20</f>
        <v>17907.3886686186</v>
      </c>
      <c r="M37" s="19" t="n">
        <f aca="false">IF(D37="รับราชการ",สมมติฐาน!$B$30+IF(AND(A37&gt;=สมมติฐาน!$B$32,A37&lt;=สมมติฐาน!$B$33),สมมติฐาน!$B$31,0),0)</f>
        <v>2</v>
      </c>
      <c r="N37" s="19" t="n">
        <f aca="false">IF(AND(A37&gt;=สมมติฐาน!$B$35,A37&lt;=สมมติฐาน!$B$36),สมมติฐาน!$B$34,0)+IF(D37="รับราชการ",0,สมมติฐาน!$B$37)</f>
        <v>0</v>
      </c>
      <c r="O37" s="21" t="n">
        <f aca="false">(1+สมมติฐาน!$B$43)^(A37-1)*(1+สมมติฐาน!$B$44)^(A37-1)</f>
        <v>3.03116528648356</v>
      </c>
      <c r="P37" s="14" t="n">
        <f aca="false">(M37*สมมติฐาน!$B$38+N37*สมมติฐาน!$B$39)*O37</f>
        <v>48498.6445837369</v>
      </c>
      <c r="Q37" s="14" t="n">
        <f aca="false">IF(D37="รับราชการ",0,$AB$6*12*(1+สมมติฐาน!$B$46)^(A37-38-1))</f>
        <v>0</v>
      </c>
      <c r="R37" s="14" t="n">
        <f aca="false">IF(C37=สมมติฐาน!$B$8,$AB$7,0)+IF(C37=65,$AB$9,0)+IF(A37=57,$AB$10+$AB$11,0)</f>
        <v>0</v>
      </c>
      <c r="S37" s="14" t="n">
        <f aca="false">G37+H37+I37+J37+K37+L37+P37+Q37+R37</f>
        <v>693164.636654005</v>
      </c>
      <c r="T37" s="14" t="n">
        <f aca="false">S37/E37</f>
        <v>398136.128260562</v>
      </c>
      <c r="U37" s="21" t="n">
        <f aca="false">1/(1+สมมติฐาน!$B$45)^(A37-1)</f>
        <v>0.333477471280052</v>
      </c>
      <c r="V37" s="14" t="n">
        <f aca="false">S37*U37</f>
        <v>231154.790212133</v>
      </c>
    </row>
    <row r="38" customFormat="false" ht="15" hidden="false" customHeight="true" outlineLevel="0" collapsed="false">
      <c r="A38" s="22" t="n">
        <v>30</v>
      </c>
      <c r="B38" s="22" t="n">
        <f aca="false">สมมติฐาน!$B$42+A38-1</f>
        <v>2598</v>
      </c>
      <c r="C38" s="22" t="n">
        <f aca="false">สมมติฐาน!$B$7+A38-1</f>
        <v>51</v>
      </c>
      <c r="D38" s="23" t="str">
        <f aca="false">IF(C38&lt;สมมติฐาน!$B$8,"รับราชการ","รับบำนาญ")</f>
        <v>รับราชการ</v>
      </c>
      <c r="E38" s="24" t="n">
        <f aca="false">(1+สมมติฐาน!$B$43)^(A38-1)</f>
        <v>1.77584469029741</v>
      </c>
      <c r="F38" s="25" t="n">
        <f aca="false">IF(D38="รับราชการ",สมมติฐาน!$B$13*(1+สมมติฐาน!$B$15)^(A38-1)*E38,0)</f>
        <v>52057.4621499747</v>
      </c>
      <c r="G38" s="25" t="n">
        <f aca="false">F38*12</f>
        <v>624689.545799697</v>
      </c>
      <c r="H38" s="25" t="n">
        <f aca="false">IF(D38="รับราชการ",IF(A38&gt;=สมมติฐาน!$B$19,สมมติฐาน!$B$18,IF(A38&gt;=สมมติฐาน!$B$17,สมมติฐาน!$B$16,0))*12*E38,0)</f>
        <v>0</v>
      </c>
      <c r="I38" s="25" t="n">
        <f aca="false">G38*สมมติฐาน!$B$21</f>
        <v>31234.4772899848</v>
      </c>
      <c r="J38" s="25" t="n">
        <f aca="false">IF(AND(D38="รับราชการ",A38&lt;=สมมติฐาน!$B$23),สมมติฐาน!$B$22*12*E38,0)</f>
        <v>0</v>
      </c>
      <c r="K38" s="25" t="n">
        <f aca="false">IF(AND(D38="รับราชการ",A38&gt;=สมมติฐาน!$B$27,A38&lt;สมมติฐาน!$B$27+สมมติฐาน!$B$28),สมมติฐาน!$B$25*สมมติฐาน!$B$26*E38,0)</f>
        <v>0</v>
      </c>
      <c r="L38" s="25" t="n">
        <f aca="false">G38*สมมติฐาน!$B$20</f>
        <v>18740.6863739909</v>
      </c>
      <c r="M38" s="22" t="n">
        <f aca="false">IF(D38="รับราชการ",สมมติฐาน!$B$30+IF(AND(A38&gt;=สมมติฐาน!$B$32,A38&lt;=สมมติฐาน!$B$33),สมมติฐาน!$B$31,0),0)</f>
        <v>1</v>
      </c>
      <c r="N38" s="22" t="n">
        <f aca="false">IF(AND(A38&gt;=สมมติฐาน!$B$35,A38&lt;=สมมติฐาน!$B$36),สมมติฐาน!$B$34,0)+IF(D38="รับราชการ",0,สมมติฐาน!$B$37)</f>
        <v>0</v>
      </c>
      <c r="O38" s="24" t="n">
        <f aca="false">(1+สมมติฐาน!$B$43)^(A38-1)*(1+สมมติฐาน!$B$44)^(A38-1)</f>
        <v>3.15362436405749</v>
      </c>
      <c r="P38" s="25" t="n">
        <f aca="false">(M38*สมมติฐาน!$B$38+N38*สมมติฐาน!$B$39)*O38</f>
        <v>25228.9949124599</v>
      </c>
      <c r="Q38" s="25" t="n">
        <f aca="false">IF(D38="รับราชการ",0,$AB$6*12*(1+สมมติฐาน!$B$46)^(A38-38-1))</f>
        <v>0</v>
      </c>
      <c r="R38" s="25" t="n">
        <f aca="false">IF(C38=สมมติฐาน!$B$8,$AB$7,0)+IF(C38=65,$AB$9,0)+IF(A38=57,$AB$10+$AB$11,0)</f>
        <v>0</v>
      </c>
      <c r="S38" s="25" t="n">
        <f aca="false">G38+H38+I38+J38+K38+L38+P38+Q38+R38</f>
        <v>699893.704376133</v>
      </c>
      <c r="T38" s="25" t="n">
        <f aca="false">S38/E38</f>
        <v>394118.758357702</v>
      </c>
      <c r="U38" s="24" t="n">
        <f aca="false">1/(1+สมมติฐาน!$B$45)^(A38-1)</f>
        <v>0.320651414692357</v>
      </c>
      <c r="V38" s="25" t="n">
        <f aca="false">S38*U38</f>
        <v>224421.906442481</v>
      </c>
    </row>
    <row r="39" customFormat="false" ht="15" hidden="false" customHeight="true" outlineLevel="0" collapsed="false">
      <c r="A39" s="19" t="n">
        <v>31</v>
      </c>
      <c r="B39" s="19" t="n">
        <f aca="false">สมมติฐาน!$B$42+A39-1</f>
        <v>2599</v>
      </c>
      <c r="C39" s="19" t="n">
        <f aca="false">สมมติฐาน!$B$7+A39-1</f>
        <v>52</v>
      </c>
      <c r="D39" s="20" t="str">
        <f aca="false">IF(C39&lt;สมมติฐาน!$B$8,"รับราชการ","รับบำนาญ")</f>
        <v>รับราชการ</v>
      </c>
      <c r="E39" s="21" t="n">
        <f aca="false">(1+สมมติฐาน!$B$43)^(A39-1)</f>
        <v>1.81136158410335</v>
      </c>
      <c r="F39" s="14" t="n">
        <f aca="false">IF(D39="รับราชการ",สมมติฐาน!$B$13*(1+สมมติฐาน!$B$15)^(A39-1)*E39,0)</f>
        <v>54479.8903755429</v>
      </c>
      <c r="G39" s="14" t="n">
        <f aca="false">F39*12</f>
        <v>653758.684506515</v>
      </c>
      <c r="H39" s="14" t="n">
        <f aca="false">IF(D39="รับราชการ",IF(A39&gt;=สมมติฐาน!$B$19,สมมติฐาน!$B$18,IF(A39&gt;=สมมติฐาน!$B$17,สมมติฐาน!$B$16,0))*12*E39,0)</f>
        <v>0</v>
      </c>
      <c r="I39" s="14" t="n">
        <f aca="false">G39*สมมติฐาน!$B$21</f>
        <v>32687.9342253257</v>
      </c>
      <c r="J39" s="14" t="n">
        <f aca="false">IF(AND(D39="รับราชการ",A39&lt;=สมมติฐาน!$B$23),สมมติฐาน!$B$22*12*E39,0)</f>
        <v>0</v>
      </c>
      <c r="K39" s="14" t="n">
        <f aca="false">IF(AND(D39="รับราชการ",A39&gt;=สมมติฐาน!$B$27,A39&lt;สมมติฐาน!$B$27+สมมติฐาน!$B$28),สมมติฐาน!$B$25*สมมติฐาน!$B$26*E39,0)</f>
        <v>0</v>
      </c>
      <c r="L39" s="14" t="n">
        <f aca="false">G39*สมมติฐาน!$B$20</f>
        <v>19612.7605351954</v>
      </c>
      <c r="M39" s="19" t="n">
        <f aca="false">IF(D39="รับราชการ",สมมติฐาน!$B$30+IF(AND(A39&gt;=สมมติฐาน!$B$32,A39&lt;=สมมติฐาน!$B$33),สมมติฐาน!$B$31,0),0)</f>
        <v>1</v>
      </c>
      <c r="N39" s="19" t="n">
        <f aca="false">IF(AND(A39&gt;=สมมติฐาน!$B$35,A39&lt;=สมมติฐาน!$B$36),สมมติฐาน!$B$34,0)+IF(D39="รับราชการ",0,สมมติฐาน!$B$37)</f>
        <v>0</v>
      </c>
      <c r="O39" s="21" t="n">
        <f aca="false">(1+สมมติฐาน!$B$43)^(A39-1)*(1+สมมติฐาน!$B$44)^(A39-1)</f>
        <v>3.28103078836542</v>
      </c>
      <c r="P39" s="14" t="n">
        <f aca="false">(M39*สมมติฐาน!$B$38+N39*สมมติฐาน!$B$39)*O39</f>
        <v>26248.2463069233</v>
      </c>
      <c r="Q39" s="14" t="n">
        <f aca="false">IF(D39="รับราชการ",0,$AB$6*12*(1+สมมติฐาน!$B$46)^(A39-38-1))</f>
        <v>0</v>
      </c>
      <c r="R39" s="14" t="n">
        <f aca="false">IF(C39=สมมติฐาน!$B$8,$AB$7,0)+IF(C39=65,$AB$9,0)+IF(A39=57,$AB$10+$AB$11,0)</f>
        <v>0</v>
      </c>
      <c r="S39" s="14" t="n">
        <f aca="false">G39+H39+I39+J39+K39+L39+P39+Q39+R39</f>
        <v>732307.625573959</v>
      </c>
      <c r="T39" s="14" t="n">
        <f aca="false">S39/E39</f>
        <v>404285.721857384</v>
      </c>
      <c r="U39" s="21" t="n">
        <f aca="false">1/(1+สมมติฐาน!$B$45)^(A39-1)</f>
        <v>0.30831866797342</v>
      </c>
      <c r="V39" s="14" t="n">
        <f aca="false">S39*U39</f>
        <v>225784.111663741</v>
      </c>
    </row>
    <row r="40" customFormat="false" ht="15" hidden="false" customHeight="true" outlineLevel="0" collapsed="false">
      <c r="A40" s="22" t="n">
        <v>32</v>
      </c>
      <c r="B40" s="22" t="n">
        <f aca="false">สมมติฐาน!$B$42+A40-1</f>
        <v>2600</v>
      </c>
      <c r="C40" s="22" t="n">
        <f aca="false">สมมติฐาน!$B$7+A40-1</f>
        <v>53</v>
      </c>
      <c r="D40" s="23" t="str">
        <f aca="false">IF(C40&lt;สมมติฐาน!$B$8,"รับราชการ","รับบำนาญ")</f>
        <v>รับราชการ</v>
      </c>
      <c r="E40" s="24" t="n">
        <f aca="false">(1+สมมติฐาน!$B$43)^(A40-1)</f>
        <v>1.84758881578542</v>
      </c>
      <c r="F40" s="25" t="n">
        <f aca="false">IF(D40="รับราชการ",สมมติฐาน!$B$13*(1+สมมติฐาน!$B$15)^(A40-1)*E40,0)</f>
        <v>57015.0432378043</v>
      </c>
      <c r="G40" s="25" t="n">
        <f aca="false">F40*12</f>
        <v>684180.518853652</v>
      </c>
      <c r="H40" s="25" t="n">
        <f aca="false">IF(D40="รับราชการ",IF(A40&gt;=สมมติฐาน!$B$19,สมมติฐาน!$B$18,IF(A40&gt;=สมมติฐาน!$B$17,สมมติฐาน!$B$16,0))*12*E40,0)</f>
        <v>0</v>
      </c>
      <c r="I40" s="25" t="n">
        <f aca="false">G40*สมมติฐาน!$B$21</f>
        <v>34209.0259426826</v>
      </c>
      <c r="J40" s="25" t="n">
        <f aca="false">IF(AND(D40="รับราชการ",A40&lt;=สมมติฐาน!$B$23),สมมติฐาน!$B$22*12*E40,0)</f>
        <v>0</v>
      </c>
      <c r="K40" s="25" t="n">
        <f aca="false">IF(AND(D40="รับราชการ",A40&gt;=สมมติฐาน!$B$27,A40&lt;สมมติฐาน!$B$27+สมมติฐาน!$B$28),สมมติฐาน!$B$25*สมมติฐาน!$B$26*E40,0)</f>
        <v>0</v>
      </c>
      <c r="L40" s="25" t="n">
        <f aca="false">G40*สมมติฐาน!$B$20</f>
        <v>20525.4155656096</v>
      </c>
      <c r="M40" s="22" t="n">
        <f aca="false">IF(D40="รับราชการ",สมมติฐาน!$B$30+IF(AND(A40&gt;=สมมติฐาน!$B$32,A40&lt;=สมมติฐาน!$B$33),สมมติฐาน!$B$31,0),0)</f>
        <v>1</v>
      </c>
      <c r="N40" s="22" t="n">
        <f aca="false">IF(AND(A40&gt;=สมมติฐาน!$B$35,A40&lt;=สมมติฐาน!$B$36),สมมติฐาน!$B$34,0)+IF(D40="รับราชการ",0,สมมติฐาน!$B$37)</f>
        <v>0</v>
      </c>
      <c r="O40" s="24" t="n">
        <f aca="false">(1+สมมติฐาน!$B$43)^(A40-1)*(1+สมมติฐาน!$B$44)^(A40-1)</f>
        <v>3.41358443221538</v>
      </c>
      <c r="P40" s="25" t="n">
        <f aca="false">(M40*สมมติฐาน!$B$38+N40*สมมติฐาน!$B$39)*O40</f>
        <v>27308.675457723</v>
      </c>
      <c r="Q40" s="25" t="n">
        <f aca="false">IF(D40="รับราชการ",0,$AB$6*12*(1+สมมติฐาน!$B$46)^(A40-38-1))</f>
        <v>0</v>
      </c>
      <c r="R40" s="25" t="n">
        <f aca="false">IF(C40=สมมติฐาน!$B$8,$AB$7,0)+IF(C40=65,$AB$9,0)+IF(A40=57,$AB$10+$AB$11,0)</f>
        <v>0</v>
      </c>
      <c r="S40" s="25" t="n">
        <f aca="false">G40+H40+I40+J40+K40+L40+P40+Q40+R40</f>
        <v>766223.635819667</v>
      </c>
      <c r="T40" s="25" t="n">
        <f aca="false">S40/E40</f>
        <v>414715.454690572</v>
      </c>
      <c r="U40" s="24" t="n">
        <f aca="false">1/(1+สมมติฐาน!$B$45)^(A40-1)</f>
        <v>0.29646025766675</v>
      </c>
      <c r="V40" s="25" t="n">
        <f aca="false">S40*U40</f>
        <v>227154.856505453</v>
      </c>
    </row>
    <row r="41" customFormat="false" ht="15" hidden="false" customHeight="true" outlineLevel="0" collapsed="false">
      <c r="A41" s="19" t="n">
        <v>33</v>
      </c>
      <c r="B41" s="19" t="n">
        <f aca="false">สมมติฐาน!$B$42+A41-1</f>
        <v>2601</v>
      </c>
      <c r="C41" s="19" t="n">
        <f aca="false">สมมติฐาน!$B$7+A41-1</f>
        <v>54</v>
      </c>
      <c r="D41" s="20" t="str">
        <f aca="false">IF(C41&lt;สมมติฐาน!$B$8,"รับราชการ","รับบำนาญ")</f>
        <v>รับราชการ</v>
      </c>
      <c r="E41" s="21" t="n">
        <f aca="false">(1+สมมติฐาน!$B$43)^(A41-1)</f>
        <v>1.88454059210113</v>
      </c>
      <c r="F41" s="14" t="n">
        <f aca="false">IF(D41="รับราชการ",สมมติฐาน!$B$13*(1+สมมติฐาน!$B$15)^(A41-1)*E41,0)</f>
        <v>59668.1662352979</v>
      </c>
      <c r="G41" s="14" t="n">
        <f aca="false">F41*12</f>
        <v>716017.994823574</v>
      </c>
      <c r="H41" s="14" t="n">
        <f aca="false">IF(D41="รับราชการ",IF(A41&gt;=สมมติฐาน!$B$19,สมมติฐาน!$B$18,IF(A41&gt;=สมมติฐาน!$B$17,สมมติฐาน!$B$16,0))*12*E41,0)</f>
        <v>0</v>
      </c>
      <c r="I41" s="14" t="n">
        <f aca="false">G41*สมมติฐาน!$B$21</f>
        <v>35800.8997411787</v>
      </c>
      <c r="J41" s="14" t="n">
        <f aca="false">IF(AND(D41="รับราชการ",A41&lt;=สมมติฐาน!$B$23),สมมติฐาน!$B$22*12*E41,0)</f>
        <v>0</v>
      </c>
      <c r="K41" s="14" t="n">
        <f aca="false">IF(AND(D41="รับราชการ",A41&gt;=สมมติฐาน!$B$27,A41&lt;สมมติฐาน!$B$27+สมมติฐาน!$B$28),สมมติฐาน!$B$25*สมมติฐาน!$B$26*E41,0)</f>
        <v>0</v>
      </c>
      <c r="L41" s="14" t="n">
        <f aca="false">G41*สมมติฐาน!$B$20</f>
        <v>21480.5398447072</v>
      </c>
      <c r="M41" s="19" t="n">
        <f aca="false">IF(D41="รับราชการ",สมมติฐาน!$B$30+IF(AND(A41&gt;=สมมติฐาน!$B$32,A41&lt;=สมมติฐาน!$B$33),สมมติฐาน!$B$31,0),0)</f>
        <v>1</v>
      </c>
      <c r="N41" s="19" t="n">
        <f aca="false">IF(AND(A41&gt;=สมมติฐาน!$B$35,A41&lt;=สมมติฐาน!$B$36),สมมติฐาน!$B$34,0)+IF(D41="รับราชการ",0,สมมติฐาน!$B$37)</f>
        <v>0</v>
      </c>
      <c r="O41" s="21" t="n">
        <f aca="false">(1+สมมติฐาน!$B$43)^(A41-1)*(1+สมมติฐาน!$B$44)^(A41-1)</f>
        <v>3.55149324327688</v>
      </c>
      <c r="P41" s="14" t="n">
        <f aca="false">(M41*สมมติฐาน!$B$38+N41*สมมติฐาน!$B$39)*O41</f>
        <v>28411.945946215</v>
      </c>
      <c r="Q41" s="14" t="n">
        <f aca="false">IF(D41="รับราชการ",0,$AB$6*12*(1+สมมติฐาน!$B$46)^(A41-38-1))</f>
        <v>0</v>
      </c>
      <c r="R41" s="14" t="n">
        <f aca="false">IF(C41=สมมติฐาน!$B$8,$AB$7,0)+IF(C41=65,$AB$9,0)+IF(A41=57,$AB$10+$AB$11,0)</f>
        <v>0</v>
      </c>
      <c r="S41" s="14" t="n">
        <f aca="false">G41+H41+I41+J41+K41+L41+P41+Q41+R41</f>
        <v>801711.380355675</v>
      </c>
      <c r="T41" s="14" t="n">
        <f aca="false">S41/E41</f>
        <v>425414.758225942</v>
      </c>
      <c r="U41" s="21" t="n">
        <f aca="false">1/(1+สมมติฐาน!$B$45)^(A41-1)</f>
        <v>0.285057940064183</v>
      </c>
      <c r="V41" s="14" t="n">
        <f aca="false">S41*U41</f>
        <v>228534.194610202</v>
      </c>
    </row>
    <row r="42" customFormat="false" ht="15" hidden="false" customHeight="true" outlineLevel="0" collapsed="false">
      <c r="A42" s="22" t="n">
        <v>34</v>
      </c>
      <c r="B42" s="22" t="n">
        <f aca="false">สมมติฐาน!$B$42+A42-1</f>
        <v>2602</v>
      </c>
      <c r="C42" s="22" t="n">
        <f aca="false">สมมติฐาน!$B$7+A42-1</f>
        <v>55</v>
      </c>
      <c r="D42" s="23" t="str">
        <f aca="false">IF(C42&lt;สมมติฐาน!$B$8,"รับราชการ","รับบำนาญ")</f>
        <v>รับราชการ</v>
      </c>
      <c r="E42" s="24" t="n">
        <f aca="false">(1+สมมติฐาน!$B$43)^(A42-1)</f>
        <v>1.92223140394315</v>
      </c>
      <c r="F42" s="25" t="n">
        <f aca="false">IF(D42="รับราชการ",สมมติฐาน!$B$13*(1+สมมติฐาน!$B$15)^(A42-1)*E42,0)</f>
        <v>62444.748959209</v>
      </c>
      <c r="G42" s="25" t="n">
        <f aca="false">F42*12</f>
        <v>749336.987510508</v>
      </c>
      <c r="H42" s="25" t="n">
        <f aca="false">IF(D42="รับราชการ",IF(A42&gt;=สมมติฐาน!$B$19,สมมติฐาน!$B$18,IF(A42&gt;=สมมติฐาน!$B$17,สมมติฐาน!$B$16,0))*12*E42,0)</f>
        <v>0</v>
      </c>
      <c r="I42" s="25" t="n">
        <f aca="false">G42*สมมติฐาน!$B$21</f>
        <v>37466.8493755254</v>
      </c>
      <c r="J42" s="25" t="n">
        <f aca="false">IF(AND(D42="รับราชการ",A42&lt;=สมมติฐาน!$B$23),สมมติฐาน!$B$22*12*E42,0)</f>
        <v>0</v>
      </c>
      <c r="K42" s="25" t="n">
        <f aca="false">IF(AND(D42="รับราชการ",A42&gt;=สมมติฐาน!$B$27,A42&lt;สมมติฐาน!$B$27+สมมติฐาน!$B$28),สมมติฐาน!$B$25*สมมติฐาน!$B$26*E42,0)</f>
        <v>0</v>
      </c>
      <c r="L42" s="25" t="n">
        <f aca="false">G42*สมมติฐาน!$B$20</f>
        <v>22480.1096253152</v>
      </c>
      <c r="M42" s="22" t="n">
        <f aca="false">IF(D42="รับราชการ",สมมติฐาน!$B$30+IF(AND(A42&gt;=สมมติฐาน!$B$32,A42&lt;=สมมติฐาน!$B$33),สมมติฐาน!$B$31,0),0)</f>
        <v>1</v>
      </c>
      <c r="N42" s="22" t="n">
        <f aca="false">IF(AND(A42&gt;=สมมติฐาน!$B$35,A42&lt;=สมมติฐาน!$B$36),สมมติฐาน!$B$34,0)+IF(D42="รับราชการ",0,สมมติฐาน!$B$37)</f>
        <v>0</v>
      </c>
      <c r="O42" s="24" t="n">
        <f aca="false">(1+สมมติฐาน!$B$43)^(A42-1)*(1+สมมติฐาน!$B$44)^(A42-1)</f>
        <v>3.69497357030527</v>
      </c>
      <c r="P42" s="25" t="n">
        <f aca="false">(M42*สมมติฐาน!$B$38+N42*สมมติฐาน!$B$39)*O42</f>
        <v>29559.7885624421</v>
      </c>
      <c r="Q42" s="25" t="n">
        <f aca="false">IF(D42="รับราชการ",0,$AB$6*12*(1+สมมติฐาน!$B$46)^(A42-38-1))</f>
        <v>0</v>
      </c>
      <c r="R42" s="25" t="n">
        <f aca="false">IF(C42=สมมติฐาน!$B$8,$AB$7,0)+IF(C42=65,$AB$9,0)+IF(A42=57,$AB$10+$AB$11,0)</f>
        <v>0</v>
      </c>
      <c r="S42" s="25" t="n">
        <f aca="false">G42+H42+I42+J42+K42+L42+P42+Q42+R42</f>
        <v>838843.735073791</v>
      </c>
      <c r="T42" s="25" t="n">
        <f aca="false">S42/E42</f>
        <v>436390.610075892</v>
      </c>
      <c r="U42" s="24" t="n">
        <f aca="false">1/(1+สมมติฐาน!$B$45)^(A42-1)</f>
        <v>0.274094173138638</v>
      </c>
      <c r="V42" s="25" t="n">
        <f aca="false">S42*U42</f>
        <v>229922.179957577</v>
      </c>
    </row>
    <row r="43" customFormat="false" ht="15" hidden="false" customHeight="true" outlineLevel="0" collapsed="false">
      <c r="A43" s="19" t="n">
        <v>35</v>
      </c>
      <c r="B43" s="19" t="n">
        <f aca="false">สมมติฐาน!$B$42+A43-1</f>
        <v>2603</v>
      </c>
      <c r="C43" s="19" t="n">
        <f aca="false">สมมติฐาน!$B$7+A43-1</f>
        <v>56</v>
      </c>
      <c r="D43" s="20" t="str">
        <f aca="false">IF(C43&lt;สมมติฐาน!$B$8,"รับราชการ","รับบำนาญ")</f>
        <v>รับราชการ</v>
      </c>
      <c r="E43" s="21" t="n">
        <f aca="false">(1+สมมติฐาน!$B$43)^(A43-1)</f>
        <v>1.96067603202202</v>
      </c>
      <c r="F43" s="14" t="n">
        <f aca="false">IF(D43="รับราชการ",สมมติฐาน!$B$13*(1+สมมติฐาน!$B$15)^(A43-1)*E43,0)</f>
        <v>65350.536451913</v>
      </c>
      <c r="G43" s="14" t="n">
        <f aca="false">F43*12</f>
        <v>784206.437422956</v>
      </c>
      <c r="H43" s="14" t="n">
        <f aca="false">IF(D43="รับราชการ",IF(A43&gt;=สมมติฐาน!$B$19,สมมติฐาน!$B$18,IF(A43&gt;=สมมติฐาน!$B$17,สมมติฐาน!$B$16,0))*12*E43,0)</f>
        <v>0</v>
      </c>
      <c r="I43" s="14" t="n">
        <f aca="false">G43*สมมติฐาน!$B$21</f>
        <v>39210.3218711478</v>
      </c>
      <c r="J43" s="14" t="n">
        <f aca="false">IF(AND(D43="รับราชการ",A43&lt;=สมมติฐาน!$B$23),สมมติฐาน!$B$22*12*E43,0)</f>
        <v>0</v>
      </c>
      <c r="K43" s="14" t="n">
        <f aca="false">IF(AND(D43="รับราชการ",A43&gt;=สมมติฐาน!$B$27,A43&lt;สมมติฐาน!$B$27+สมมติฐาน!$B$28),สมมติฐาน!$B$25*สมมติฐาน!$B$26*E43,0)</f>
        <v>0</v>
      </c>
      <c r="L43" s="14" t="n">
        <f aca="false">G43*สมมติฐาน!$B$20</f>
        <v>23526.1931226887</v>
      </c>
      <c r="M43" s="19" t="n">
        <f aca="false">IF(D43="รับราชการ",สมมติฐาน!$B$30+IF(AND(A43&gt;=สมมติฐาน!$B$32,A43&lt;=สมมติฐาน!$B$33),สมมติฐาน!$B$31,0),0)</f>
        <v>1</v>
      </c>
      <c r="N43" s="19" t="n">
        <f aca="false">IF(AND(A43&gt;=สมมติฐาน!$B$35,A43&lt;=สมมติฐาน!$B$36),สมมติฐาน!$B$34,0)+IF(D43="รับราชการ",0,สมมติฐาน!$B$37)</f>
        <v>0</v>
      </c>
      <c r="O43" s="21" t="n">
        <f aca="false">(1+สมมติฐาน!$B$43)^(A43-1)*(1+สมมติฐาน!$B$44)^(A43-1)</f>
        <v>3.8442505025456</v>
      </c>
      <c r="P43" s="14" t="n">
        <f aca="false">(M43*สมมติฐาน!$B$38+N43*สมมติฐาน!$B$39)*O43</f>
        <v>30754.0040203648</v>
      </c>
      <c r="Q43" s="14" t="n">
        <f aca="false">IF(D43="รับราชการ",0,$AB$6*12*(1+สมมติฐาน!$B$46)^(A43-38-1))</f>
        <v>0</v>
      </c>
      <c r="R43" s="14" t="n">
        <f aca="false">IF(C43=สมมติฐาน!$B$8,$AB$7,0)+IF(C43=65,$AB$9,0)+IF(A43=57,$AB$10+$AB$11,0)</f>
        <v>0</v>
      </c>
      <c r="S43" s="14" t="n">
        <f aca="false">G43+H43+I43+J43+K43+L43+P43+Q43+R43</f>
        <v>877696.956437157</v>
      </c>
      <c r="T43" s="14" t="n">
        <f aca="false">S43/E43</f>
        <v>447650.16866759</v>
      </c>
      <c r="U43" s="21" t="n">
        <f aca="false">1/(1+สมมติฐาน!$B$45)^(A43-1)</f>
        <v>0.263552089556382</v>
      </c>
      <c r="V43" s="14" t="n">
        <f aca="false">S43*U43</f>
        <v>231318.86686629</v>
      </c>
    </row>
    <row r="44" customFormat="false" ht="15" hidden="false" customHeight="true" outlineLevel="0" collapsed="false">
      <c r="A44" s="22" t="n">
        <v>36</v>
      </c>
      <c r="B44" s="22" t="n">
        <f aca="false">สมมติฐาน!$B$42+A44-1</f>
        <v>2604</v>
      </c>
      <c r="C44" s="22" t="n">
        <f aca="false">สมมติฐาน!$B$7+A44-1</f>
        <v>57</v>
      </c>
      <c r="D44" s="23" t="str">
        <f aca="false">IF(C44&lt;สมมติฐาน!$B$8,"รับราชการ","รับบำนาญ")</f>
        <v>รับราชการ</v>
      </c>
      <c r="E44" s="24" t="n">
        <f aca="false">(1+สมมติฐาน!$B$43)^(A44-1)</f>
        <v>1.99988955266246</v>
      </c>
      <c r="F44" s="25" t="n">
        <f aca="false">IF(D44="รับราชการ",สมมติฐาน!$B$13*(1+สมมติฐาน!$B$15)^(A44-1)*E44,0)</f>
        <v>68391.5410940729</v>
      </c>
      <c r="G44" s="25" t="n">
        <f aca="false">F44*12</f>
        <v>820698.493128874</v>
      </c>
      <c r="H44" s="25" t="n">
        <f aca="false">IF(D44="รับราชการ",IF(A44&gt;=สมมติฐาน!$B$19,สมมติฐาน!$B$18,IF(A44&gt;=สมมติฐาน!$B$17,สมมติฐาน!$B$16,0))*12*E44,0)</f>
        <v>0</v>
      </c>
      <c r="I44" s="25" t="n">
        <f aca="false">G44*สมมติฐาน!$B$21</f>
        <v>41034.9246564437</v>
      </c>
      <c r="J44" s="25" t="n">
        <f aca="false">IF(AND(D44="รับราชการ",A44&lt;=สมมติฐาน!$B$23),สมมติฐาน!$B$22*12*E44,0)</f>
        <v>0</v>
      </c>
      <c r="K44" s="25" t="n">
        <f aca="false">IF(AND(D44="รับราชการ",A44&gt;=สมมติฐาน!$B$27,A44&lt;สมมติฐาน!$B$27+สมมติฐาน!$B$28),สมมติฐาน!$B$25*สมมติฐาน!$B$26*E44,0)</f>
        <v>0</v>
      </c>
      <c r="L44" s="25" t="n">
        <f aca="false">G44*สมมติฐาน!$B$20</f>
        <v>24620.9547938662</v>
      </c>
      <c r="M44" s="22" t="n">
        <f aca="false">IF(D44="รับราชการ",สมมติฐาน!$B$30+IF(AND(A44&gt;=สมมติฐาน!$B$32,A44&lt;=สมมติฐาน!$B$33),สมมติฐาน!$B$31,0),0)</f>
        <v>1</v>
      </c>
      <c r="N44" s="22" t="n">
        <f aca="false">IF(AND(A44&gt;=สมมติฐาน!$B$35,A44&lt;=สมมติฐาน!$B$36),สมมติฐาน!$B$34,0)+IF(D44="รับราชการ",0,สมมติฐาน!$B$37)</f>
        <v>0</v>
      </c>
      <c r="O44" s="24" t="n">
        <f aca="false">(1+สมมติฐาน!$B$43)^(A44-1)*(1+สมมติฐาน!$B$44)^(A44-1)</f>
        <v>3.99955822284844</v>
      </c>
      <c r="P44" s="25" t="n">
        <f aca="false">(M44*สมมติฐาน!$B$38+N44*สมมติฐาน!$B$39)*O44</f>
        <v>31996.4657827875</v>
      </c>
      <c r="Q44" s="25" t="n">
        <f aca="false">IF(D44="รับราชการ",0,$AB$6*12*(1+สมมติฐาน!$B$46)^(A44-38-1))</f>
        <v>0</v>
      </c>
      <c r="R44" s="25" t="n">
        <f aca="false">IF(C44=สมมติฐาน!$B$8,$AB$7,0)+IF(C44=65,$AB$9,0)+IF(A44=57,$AB$10+$AB$11,0)</f>
        <v>0</v>
      </c>
      <c r="S44" s="25" t="n">
        <f aca="false">G44+H44+I44+J44+K44+L44+P44+Q44+R44</f>
        <v>918350.838361972</v>
      </c>
      <c r="T44" s="25" t="n">
        <f aca="false">S44/E44</f>
        <v>459200.777932646</v>
      </c>
      <c r="U44" s="24" t="n">
        <f aca="false">1/(1+สมมติฐาน!$B$45)^(A44-1)</f>
        <v>0.253415470727291</v>
      </c>
      <c r="V44" s="25" t="n">
        <f aca="false">S44*U44</f>
        <v>232724.309996301</v>
      </c>
    </row>
    <row r="45" customFormat="false" ht="15" hidden="false" customHeight="true" outlineLevel="0" collapsed="false">
      <c r="A45" s="19" t="n">
        <v>37</v>
      </c>
      <c r="B45" s="19" t="n">
        <f aca="false">สมมติฐาน!$B$42+A45-1</f>
        <v>2605</v>
      </c>
      <c r="C45" s="19" t="n">
        <f aca="false">สมมติฐาน!$B$7+A45-1</f>
        <v>58</v>
      </c>
      <c r="D45" s="20" t="str">
        <f aca="false">IF(C45&lt;สมมติฐาน!$B$8,"รับราชการ","รับบำนาญ")</f>
        <v>รับราชการ</v>
      </c>
      <c r="E45" s="21" t="n">
        <f aca="false">(1+สมมติฐาน!$B$43)^(A45-1)</f>
        <v>2.03988734371571</v>
      </c>
      <c r="F45" s="14" t="n">
        <f aca="false">IF(D45="รับราชการ",สมมติฐาน!$B$13*(1+สมมติฐาน!$B$15)^(A45-1)*E45,0)</f>
        <v>71574.0550448892</v>
      </c>
      <c r="G45" s="14" t="n">
        <f aca="false">F45*12</f>
        <v>858888.66053867</v>
      </c>
      <c r="H45" s="14" t="n">
        <f aca="false">IF(D45="รับราชการ",IF(A45&gt;=สมมติฐาน!$B$19,สมมติฐาน!$B$18,IF(A45&gt;=สมมติฐาน!$B$17,สมมติฐาน!$B$16,0))*12*E45,0)</f>
        <v>0</v>
      </c>
      <c r="I45" s="14" t="n">
        <f aca="false">G45*สมมติฐาน!$B$21</f>
        <v>42944.4330269335</v>
      </c>
      <c r="J45" s="14" t="n">
        <f aca="false">IF(AND(D45="รับราชการ",A45&lt;=สมมติฐาน!$B$23),สมมติฐาน!$B$22*12*E45,0)</f>
        <v>0</v>
      </c>
      <c r="K45" s="14" t="n">
        <f aca="false">IF(AND(D45="รับราชการ",A45&gt;=สมมติฐาน!$B$27,A45&lt;สมมติฐาน!$B$27+สมมติฐาน!$B$28),สมมติฐาน!$B$25*สมมติฐาน!$B$26*E45,0)</f>
        <v>0</v>
      </c>
      <c r="L45" s="14" t="n">
        <f aca="false">G45*สมมติฐาน!$B$20</f>
        <v>25766.6598161601</v>
      </c>
      <c r="M45" s="19" t="n">
        <f aca="false">IF(D45="รับราชการ",สมมติฐาน!$B$30+IF(AND(A45&gt;=สมมติฐาน!$B$32,A45&lt;=สมมติฐาน!$B$33),สมมติฐาน!$B$31,0),0)</f>
        <v>1</v>
      </c>
      <c r="N45" s="19" t="n">
        <f aca="false">IF(AND(A45&gt;=สมมติฐาน!$B$35,A45&lt;=สมมติฐาน!$B$36),สมมติฐาน!$B$34,0)+IF(D45="รับราชการ",0,สมมติฐาน!$B$37)</f>
        <v>0</v>
      </c>
      <c r="O45" s="21" t="n">
        <f aca="false">(1+สมมติฐาน!$B$43)^(A45-1)*(1+สมมติฐาน!$B$44)^(A45-1)</f>
        <v>4.16114037505152</v>
      </c>
      <c r="P45" s="14" t="n">
        <f aca="false">(M45*สมมติฐาน!$B$38+N45*สมมติฐาน!$B$39)*O45</f>
        <v>33289.1230004121</v>
      </c>
      <c r="Q45" s="14" t="n">
        <f aca="false">IF(D45="รับราชการ",0,$AB$6*12*(1+สมมติฐาน!$B$46)^(A45-38-1))</f>
        <v>0</v>
      </c>
      <c r="R45" s="14" t="n">
        <f aca="false">IF(C45=สมมติฐาน!$B$8,$AB$7,0)+IF(C45=65,$AB$9,0)+IF(A45=57,$AB$10+$AB$11,0)</f>
        <v>0</v>
      </c>
      <c r="S45" s="14" t="n">
        <f aca="false">G45+H45+I45+J45+K45+L45+P45+Q45+R45</f>
        <v>960888.876382176</v>
      </c>
      <c r="T45" s="14" t="n">
        <f aca="false">S45/E45</f>
        <v>471049.972118506</v>
      </c>
      <c r="U45" s="21" t="n">
        <f aca="false">1/(1+สมมติฐาน!$B$45)^(A45-1)</f>
        <v>0.243668721853164</v>
      </c>
      <c r="V45" s="14" t="n">
        <f aca="false">S45*U45</f>
        <v>234138.564350968</v>
      </c>
    </row>
    <row r="46" customFormat="false" ht="15" hidden="false" customHeight="true" outlineLevel="0" collapsed="false">
      <c r="A46" s="22" t="n">
        <v>38</v>
      </c>
      <c r="B46" s="22" t="n">
        <f aca="false">สมมติฐาน!$B$42+A46-1</f>
        <v>2606</v>
      </c>
      <c r="C46" s="22" t="n">
        <f aca="false">สมมติฐาน!$B$7+A46-1</f>
        <v>59</v>
      </c>
      <c r="D46" s="23" t="str">
        <f aca="false">IF(C46&lt;สมมติฐาน!$B$8,"รับราชการ","รับบำนาญ")</f>
        <v>รับราชการ</v>
      </c>
      <c r="E46" s="24" t="n">
        <f aca="false">(1+สมมติฐาน!$B$43)^(A46-1)</f>
        <v>2.08068509059002</v>
      </c>
      <c r="F46" s="25" t="n">
        <f aca="false">IF(D46="รับราชการ",สมมติฐาน!$B$13*(1+สมมติฐาน!$B$15)^(A46-1)*E46,0)</f>
        <v>74904.6632612406</v>
      </c>
      <c r="G46" s="25" t="n">
        <f aca="false">F46*12</f>
        <v>898855.959134887</v>
      </c>
      <c r="H46" s="25" t="n">
        <f aca="false">IF(D46="รับราชการ",IF(A46&gt;=สมมติฐาน!$B$19,สมมติฐาน!$B$18,IF(A46&gt;=สมมติฐาน!$B$17,สมมติฐาน!$B$16,0))*12*E46,0)</f>
        <v>0</v>
      </c>
      <c r="I46" s="25" t="n">
        <f aca="false">G46*สมมติฐาน!$B$21</f>
        <v>44942.7979567444</v>
      </c>
      <c r="J46" s="25" t="n">
        <f aca="false">IF(AND(D46="รับราชการ",A46&lt;=สมมติฐาน!$B$23),สมมติฐาน!$B$22*12*E46,0)</f>
        <v>0</v>
      </c>
      <c r="K46" s="25" t="n">
        <f aca="false">IF(AND(D46="รับราชการ",A46&gt;=สมมติฐาน!$B$27,A46&lt;สมมติฐาน!$B$27+สมมติฐาน!$B$28),สมมติฐาน!$B$25*สมมติฐาน!$B$26*E46,0)</f>
        <v>0</v>
      </c>
      <c r="L46" s="25" t="n">
        <f aca="false">G46*สมมติฐาน!$B$20</f>
        <v>26965.6787740466</v>
      </c>
      <c r="M46" s="22" t="n">
        <f aca="false">IF(D46="รับราชการ",สมมติฐาน!$B$30+IF(AND(A46&gt;=สมมติฐาน!$B$32,A46&lt;=สมมติฐาน!$B$33),สมมติฐาน!$B$31,0),0)</f>
        <v>1</v>
      </c>
      <c r="N46" s="22" t="n">
        <f aca="false">IF(AND(A46&gt;=สมมติฐาน!$B$35,A46&lt;=สมมติฐาน!$B$36),สมมติฐาน!$B$34,0)+IF(D46="รับราชการ",0,สมมติฐาน!$B$37)</f>
        <v>0</v>
      </c>
      <c r="O46" s="24" t="n">
        <f aca="false">(1+สมมติฐาน!$B$43)^(A46-1)*(1+สมมติฐาน!$B$44)^(A46-1)</f>
        <v>4.3292504462036</v>
      </c>
      <c r="P46" s="25" t="n">
        <f aca="false">(M46*สมมติฐาน!$B$38+N46*สมมติฐาน!$B$39)*O46</f>
        <v>34634.0035696288</v>
      </c>
      <c r="Q46" s="25" t="n">
        <f aca="false">IF(D46="รับราชการ",0,$AB$6*12*(1+สมมติฐาน!$B$46)^(A46-38-1))</f>
        <v>0</v>
      </c>
      <c r="R46" s="25" t="n">
        <f aca="false">IF(C46=สมมติฐาน!$B$8,$AB$7,0)+IF(C46=65,$AB$9,0)+IF(A46=57,$AB$10+$AB$11,0)</f>
        <v>0</v>
      </c>
      <c r="S46" s="25" t="n">
        <f aca="false">G46+H46+I46+J46+K46+L46+P46+Q46+R46</f>
        <v>1005398.43943531</v>
      </c>
      <c r="T46" s="25" t="n">
        <f aca="false">S46/E46</f>
        <v>483205.480724719</v>
      </c>
      <c r="U46" s="24" t="n">
        <f aca="false">1/(1+สมมติฐาน!$B$45)^(A46-1)</f>
        <v>0.234296847935735</v>
      </c>
      <c r="V46" s="25" t="n">
        <f aca="false">S46*U46</f>
        <v>235561.685279199</v>
      </c>
    </row>
    <row r="47" customFormat="false" ht="15" hidden="false" customHeight="true" outlineLevel="0" collapsed="false">
      <c r="A47" s="19" t="n">
        <v>39</v>
      </c>
      <c r="B47" s="19" t="n">
        <f aca="false">สมมติฐาน!$B$42+A47-1</f>
        <v>2607</v>
      </c>
      <c r="C47" s="19" t="n">
        <f aca="false">สมมติฐาน!$B$7+A47-1</f>
        <v>60</v>
      </c>
      <c r="D47" s="20" t="str">
        <f aca="false">IF(C47&lt;สมมติฐาน!$B$8,"รับราชการ","รับบำนาญ")</f>
        <v>รับบำนาญ</v>
      </c>
      <c r="E47" s="21" t="n">
        <f aca="false">(1+สมมติฐาน!$B$43)^(A47-1)</f>
        <v>2.12229879240182</v>
      </c>
      <c r="F47" s="14" t="n">
        <f aca="false">IF(D47="รับราชการ",สมมติฐาน!$B$13*(1+สมมติฐาน!$B$15)^(A47-1)*E47,0)</f>
        <v>0</v>
      </c>
      <c r="G47" s="14" t="n">
        <f aca="false">F47*12</f>
        <v>0</v>
      </c>
      <c r="H47" s="14" t="n">
        <f aca="false">IF(D47="รับราชการ",IF(A47&gt;=สมมติฐาน!$B$19,สมมติฐาน!$B$18,IF(A47&gt;=สมมติฐาน!$B$17,สมมติฐาน!$B$16,0))*12*E47,0)</f>
        <v>0</v>
      </c>
      <c r="I47" s="14" t="n">
        <f aca="false">G47*สมมติฐาน!$B$21</f>
        <v>0</v>
      </c>
      <c r="J47" s="14" t="n">
        <f aca="false">IF(AND(D47="รับราชการ",A47&lt;=สมมติฐาน!$B$23),สมมติฐาน!$B$22*12*E47,0)</f>
        <v>0</v>
      </c>
      <c r="K47" s="14" t="n">
        <f aca="false">IF(AND(D47="รับราชการ",A47&gt;=สมมติฐาน!$B$27,A47&lt;สมมติฐาน!$B$27+สมมติฐาน!$B$28),สมมติฐาน!$B$25*สมมติฐาน!$B$26*E47,0)</f>
        <v>0</v>
      </c>
      <c r="L47" s="14" t="n">
        <f aca="false">G47*สมมติฐาน!$B$20</f>
        <v>0</v>
      </c>
      <c r="M47" s="19" t="n">
        <f aca="false">IF(D47="รับราชการ",สมมติฐาน!$B$30+IF(AND(A47&gt;=สมมติฐาน!$B$32,A47&lt;=สมมติฐาน!$B$33),สมมติฐาน!$B$31,0),0)</f>
        <v>0</v>
      </c>
      <c r="N47" s="19" t="n">
        <f aca="false">IF(AND(A47&gt;=สมมติฐาน!$B$35,A47&lt;=สมมติฐาน!$B$36),สมมติฐาน!$B$34,0)+IF(D47="รับราชการ",0,สมมติฐาน!$B$37)</f>
        <v>1</v>
      </c>
      <c r="O47" s="21" t="n">
        <f aca="false">(1+สมมติฐาน!$B$43)^(A47-1)*(1+สมมติฐาน!$B$44)^(A47-1)</f>
        <v>4.50415216423022</v>
      </c>
      <c r="P47" s="14" t="n">
        <f aca="false">(M47*สมมติฐาน!$B$38+N47*สมมติฐาน!$B$39)*O47</f>
        <v>112603.804105756</v>
      </c>
      <c r="Q47" s="14" t="n">
        <f aca="false">IF(D47="รับราชการ",0,$AB$6*12*(1+สมมติฐาน!$B$46)^(A47-38-1))</f>
        <v>575678.115283025</v>
      </c>
      <c r="R47" s="14" t="n">
        <f aca="false">IF(C47=สมมติฐาน!$B$8,$AB$7,0)+IF(C47=65,$AB$9,0)+IF(A47=57,$AB$10+$AB$11,0)</f>
        <v>200000</v>
      </c>
      <c r="S47" s="14" t="n">
        <f aca="false">G47+H47+I47+J47+K47+L47+P47+Q47+R47</f>
        <v>888281.919388781</v>
      </c>
      <c r="T47" s="14" t="n">
        <f aca="false">S47/E47</f>
        <v>418547.059711374</v>
      </c>
      <c r="U47" s="21" t="n">
        <f aca="false">1/(1+สมมติฐาน!$B$45)^(A47-1)</f>
        <v>0.225285430707437</v>
      </c>
      <c r="V47" s="14" t="n">
        <f aca="false">S47*U47</f>
        <v>200116.974799131</v>
      </c>
    </row>
    <row r="48" customFormat="false" ht="15" hidden="false" customHeight="true" outlineLevel="0" collapsed="false">
      <c r="A48" s="22" t="n">
        <v>40</v>
      </c>
      <c r="B48" s="22" t="n">
        <f aca="false">สมมติฐาน!$B$42+A48-1</f>
        <v>2608</v>
      </c>
      <c r="C48" s="22" t="n">
        <f aca="false">สมมติฐาน!$B$7+A48-1</f>
        <v>61</v>
      </c>
      <c r="D48" s="23" t="str">
        <f aca="false">IF(C48&lt;สมมติฐาน!$B$8,"รับราชการ","รับบำนาญ")</f>
        <v>รับบำนาญ</v>
      </c>
      <c r="E48" s="24" t="n">
        <f aca="false">(1+สมมติฐาน!$B$43)^(A48-1)</f>
        <v>2.16474476824986</v>
      </c>
      <c r="F48" s="25" t="n">
        <f aca="false">IF(D48="รับราชการ",สมมติฐาน!$B$13*(1+สมมติฐาน!$B$15)^(A48-1)*E48,0)</f>
        <v>0</v>
      </c>
      <c r="G48" s="25" t="n">
        <f aca="false">F48*12</f>
        <v>0</v>
      </c>
      <c r="H48" s="25" t="n">
        <f aca="false">IF(D48="รับราชการ",IF(A48&gt;=สมมติฐาน!$B$19,สมมติฐาน!$B$18,IF(A48&gt;=สมมติฐาน!$B$17,สมมติฐาน!$B$16,0))*12*E48,0)</f>
        <v>0</v>
      </c>
      <c r="I48" s="25" t="n">
        <f aca="false">G48*สมมติฐาน!$B$21</f>
        <v>0</v>
      </c>
      <c r="J48" s="25" t="n">
        <f aca="false">IF(AND(D48="รับราชการ",A48&lt;=สมมติฐาน!$B$23),สมมติฐาน!$B$22*12*E48,0)</f>
        <v>0</v>
      </c>
      <c r="K48" s="25" t="n">
        <f aca="false">IF(AND(D48="รับราชการ",A48&gt;=สมมติฐาน!$B$27,A48&lt;สมมติฐาน!$B$27+สมมติฐาน!$B$28),สมมติฐาน!$B$25*สมมติฐาน!$B$26*E48,0)</f>
        <v>0</v>
      </c>
      <c r="L48" s="25" t="n">
        <f aca="false">G48*สมมติฐาน!$B$20</f>
        <v>0</v>
      </c>
      <c r="M48" s="22" t="n">
        <f aca="false">IF(D48="รับราชการ",สมมติฐาน!$B$30+IF(AND(A48&gt;=สมมติฐาน!$B$32,A48&lt;=สมมติฐาน!$B$33),สมมติฐาน!$B$31,0),0)</f>
        <v>0</v>
      </c>
      <c r="N48" s="22" t="n">
        <f aca="false">IF(AND(A48&gt;=สมมติฐาน!$B$35,A48&lt;=สมมติฐาน!$B$36),สมมติฐาน!$B$34,0)+IF(D48="รับราชการ",0,สมมติฐาน!$B$37)</f>
        <v>1</v>
      </c>
      <c r="O48" s="24" t="n">
        <f aca="false">(1+สมมติฐาน!$B$43)^(A48-1)*(1+สมมติฐาน!$B$44)^(A48-1)</f>
        <v>4.68611991166512</v>
      </c>
      <c r="P48" s="25" t="n">
        <f aca="false">(M48*สมมติฐาน!$B$38+N48*สมมติฐาน!$B$39)*O48</f>
        <v>117152.997791628</v>
      </c>
      <c r="Q48" s="25" t="n">
        <f aca="false">IF(D48="รับราชการ",0,$AB$6*12*(1+สมมติฐาน!$B$46)^(A48-38-1))</f>
        <v>575678.115283025</v>
      </c>
      <c r="R48" s="25" t="n">
        <f aca="false">IF(C48=สมมติฐาน!$B$8,$AB$7,0)+IF(C48=65,$AB$9,0)+IF(A48=57,$AB$10+$AB$11,0)</f>
        <v>0</v>
      </c>
      <c r="S48" s="25" t="n">
        <f aca="false">G48+H48+I48+J48+K48+L48+P48+Q48+R48</f>
        <v>692831.113074654</v>
      </c>
      <c r="T48" s="25" t="n">
        <f aca="false">S48/E48</f>
        <v>320052.101862702</v>
      </c>
      <c r="U48" s="24" t="n">
        <f aca="false">1/(1+สมมติฐาน!$B$45)^(A48-1)</f>
        <v>0.216620606449459</v>
      </c>
      <c r="V48" s="25" t="n">
        <f aca="false">S48*U48</f>
        <v>150081.495881285</v>
      </c>
    </row>
    <row r="49" customFormat="false" ht="15" hidden="false" customHeight="true" outlineLevel="0" collapsed="false">
      <c r="A49" s="19" t="n">
        <v>41</v>
      </c>
      <c r="B49" s="19" t="n">
        <f aca="false">สมมติฐาน!$B$42+A49-1</f>
        <v>2609</v>
      </c>
      <c r="C49" s="19" t="n">
        <f aca="false">สมมติฐาน!$B$7+A49-1</f>
        <v>62</v>
      </c>
      <c r="D49" s="20" t="str">
        <f aca="false">IF(C49&lt;สมมติฐาน!$B$8,"รับราชการ","รับบำนาญ")</f>
        <v>รับบำนาญ</v>
      </c>
      <c r="E49" s="21" t="n">
        <f aca="false">(1+สมมติฐาน!$B$43)^(A49-1)</f>
        <v>2.20803966361485</v>
      </c>
      <c r="F49" s="14" t="n">
        <f aca="false">IF(D49="รับราชการ",สมมติฐาน!$B$13*(1+สมมติฐาน!$B$15)^(A49-1)*E49,0)</f>
        <v>0</v>
      </c>
      <c r="G49" s="14" t="n">
        <f aca="false">F49*12</f>
        <v>0</v>
      </c>
      <c r="H49" s="14" t="n">
        <f aca="false">IF(D49="รับราชการ",IF(A49&gt;=สมมติฐาน!$B$19,สมมติฐาน!$B$18,IF(A49&gt;=สมมติฐาน!$B$17,สมมติฐาน!$B$16,0))*12*E49,0)</f>
        <v>0</v>
      </c>
      <c r="I49" s="14" t="n">
        <f aca="false">G49*สมมติฐาน!$B$21</f>
        <v>0</v>
      </c>
      <c r="J49" s="14" t="n">
        <f aca="false">IF(AND(D49="รับราชการ",A49&lt;=สมมติฐาน!$B$23),สมมติฐาน!$B$22*12*E49,0)</f>
        <v>0</v>
      </c>
      <c r="K49" s="14" t="n">
        <f aca="false">IF(AND(D49="รับราชการ",A49&gt;=สมมติฐาน!$B$27,A49&lt;สมมติฐาน!$B$27+สมมติฐาน!$B$28),สมมติฐาน!$B$25*สมมติฐาน!$B$26*E49,0)</f>
        <v>0</v>
      </c>
      <c r="L49" s="14" t="n">
        <f aca="false">G49*สมมติฐาน!$B$20</f>
        <v>0</v>
      </c>
      <c r="M49" s="19" t="n">
        <f aca="false">IF(D49="รับราชการ",สมมติฐาน!$B$30+IF(AND(A49&gt;=สมมติฐาน!$B$32,A49&lt;=สมมติฐาน!$B$33),สมมติฐาน!$B$31,0),0)</f>
        <v>0</v>
      </c>
      <c r="N49" s="19" t="n">
        <f aca="false">IF(AND(A49&gt;=สมมติฐาน!$B$35,A49&lt;=สมมติฐาน!$B$36),สมมติฐาน!$B$34,0)+IF(D49="รับราชการ",0,สมมติฐาน!$B$37)</f>
        <v>1</v>
      </c>
      <c r="O49" s="21" t="n">
        <f aca="false">(1+สมมติฐาน!$B$43)^(A49-1)*(1+สมมติฐาน!$B$44)^(A49-1)</f>
        <v>4.8754391560964</v>
      </c>
      <c r="P49" s="14" t="n">
        <f aca="false">(M49*สมมติฐาน!$B$38+N49*สมมติฐาน!$B$39)*O49</f>
        <v>121885.97890241</v>
      </c>
      <c r="Q49" s="14" t="n">
        <f aca="false">IF(D49="รับราชการ",0,$AB$6*12*(1+สมมติฐาน!$B$46)^(A49-38-1))</f>
        <v>575678.115283025</v>
      </c>
      <c r="R49" s="14" t="n">
        <f aca="false">IF(C49=สมมติฐาน!$B$8,$AB$7,0)+IF(C49=65,$AB$9,0)+IF(A49=57,$AB$10+$AB$11,0)</f>
        <v>0</v>
      </c>
      <c r="S49" s="14" t="n">
        <f aca="false">G49+H49+I49+J49+K49+L49+P49+Q49+R49</f>
        <v>697564.094185435</v>
      </c>
      <c r="T49" s="14" t="n">
        <f aca="false">S49/E49</f>
        <v>315920.092233955</v>
      </c>
      <c r="U49" s="21" t="n">
        <f aca="false">1/(1+สมมติฐาน!$B$45)^(A49-1)</f>
        <v>0.208289044662941</v>
      </c>
      <c r="V49" s="14" t="n">
        <f aca="false">S49*U49</f>
        <v>145294.958769054</v>
      </c>
    </row>
    <row r="50" customFormat="false" ht="15" hidden="false" customHeight="true" outlineLevel="0" collapsed="false">
      <c r="A50" s="22" t="n">
        <v>42</v>
      </c>
      <c r="B50" s="22" t="n">
        <f aca="false">สมมติฐาน!$B$42+A50-1</f>
        <v>2610</v>
      </c>
      <c r="C50" s="22" t="n">
        <f aca="false">สมมติฐาน!$B$7+A50-1</f>
        <v>63</v>
      </c>
      <c r="D50" s="23" t="str">
        <f aca="false">IF(C50&lt;สมมติฐาน!$B$8,"รับราชการ","รับบำนาญ")</f>
        <v>รับบำนาญ</v>
      </c>
      <c r="E50" s="24" t="n">
        <f aca="false">(1+สมมติฐาน!$B$43)^(A50-1)</f>
        <v>2.25220045688715</v>
      </c>
      <c r="F50" s="25" t="n">
        <f aca="false">IF(D50="รับราชการ",สมมติฐาน!$B$13*(1+สมมติฐาน!$B$15)^(A50-1)*E50,0)</f>
        <v>0</v>
      </c>
      <c r="G50" s="25" t="n">
        <f aca="false">F50*12</f>
        <v>0</v>
      </c>
      <c r="H50" s="25" t="n">
        <f aca="false">IF(D50="รับราชการ",IF(A50&gt;=สมมติฐาน!$B$19,สมมติฐาน!$B$18,IF(A50&gt;=สมมติฐาน!$B$17,สมมติฐาน!$B$16,0))*12*E50,0)</f>
        <v>0</v>
      </c>
      <c r="I50" s="25" t="n">
        <f aca="false">G50*สมมติฐาน!$B$21</f>
        <v>0</v>
      </c>
      <c r="J50" s="25" t="n">
        <f aca="false">IF(AND(D50="รับราชการ",A50&lt;=สมมติฐาน!$B$23),สมมติฐาน!$B$22*12*E50,0)</f>
        <v>0</v>
      </c>
      <c r="K50" s="25" t="n">
        <f aca="false">IF(AND(D50="รับราชการ",A50&gt;=สมมติฐาน!$B$27,A50&lt;สมมติฐาน!$B$27+สมมติฐาน!$B$28),สมมติฐาน!$B$25*สมมติฐาน!$B$26*E50,0)</f>
        <v>0</v>
      </c>
      <c r="L50" s="25" t="n">
        <f aca="false">G50*สมมติฐาน!$B$20</f>
        <v>0</v>
      </c>
      <c r="M50" s="22" t="n">
        <f aca="false">IF(D50="รับราชการ",สมมติฐาน!$B$30+IF(AND(A50&gt;=สมมติฐาน!$B$32,A50&lt;=สมมติฐาน!$B$33),สมมติฐาน!$B$31,0),0)</f>
        <v>0</v>
      </c>
      <c r="N50" s="22" t="n">
        <f aca="false">IF(AND(A50&gt;=สมมติฐาน!$B$35,A50&lt;=สมมติฐาน!$B$36),สมมติฐาน!$B$34,0)+IF(D50="รับราชการ",0,สมมติฐาน!$B$37)</f>
        <v>1</v>
      </c>
      <c r="O50" s="24" t="n">
        <f aca="false">(1+สมมติฐาน!$B$43)^(A50-1)*(1+สมมติฐาน!$B$44)^(A50-1)</f>
        <v>5.07240689800269</v>
      </c>
      <c r="P50" s="25" t="n">
        <f aca="false">(M50*สมมติฐาน!$B$38+N50*สมมติฐาน!$B$39)*O50</f>
        <v>126810.172450067</v>
      </c>
      <c r="Q50" s="25" t="n">
        <f aca="false">IF(D50="รับราชการ",0,$AB$6*12*(1+สมมติฐาน!$B$46)^(A50-38-1))</f>
        <v>575678.115283025</v>
      </c>
      <c r="R50" s="25" t="n">
        <f aca="false">IF(C50=สมมติฐาน!$B$8,$AB$7,0)+IF(C50=65,$AB$9,0)+IF(A50=57,$AB$10+$AB$11,0)</f>
        <v>0</v>
      </c>
      <c r="S50" s="25" t="n">
        <f aca="false">G50+H50+I50+J50+K50+L50+P50+Q50+R50</f>
        <v>702488.287733093</v>
      </c>
      <c r="T50" s="25" t="n">
        <f aca="false">S50/E50</f>
        <v>311911.972837457</v>
      </c>
      <c r="U50" s="24" t="n">
        <f aca="false">1/(1+สมมติฐาน!$B$45)^(A50-1)</f>
        <v>0.20027792756052</v>
      </c>
      <c r="V50" s="25" t="n">
        <f aca="false">S50*U50</f>
        <v>140692.898402722</v>
      </c>
    </row>
    <row r="51" customFormat="false" ht="15" hidden="false" customHeight="true" outlineLevel="0" collapsed="false">
      <c r="A51" s="19" t="n">
        <v>43</v>
      </c>
      <c r="B51" s="19" t="n">
        <f aca="false">สมมติฐาน!$B$42+A51-1</f>
        <v>2611</v>
      </c>
      <c r="C51" s="19" t="n">
        <f aca="false">สมมติฐาน!$B$7+A51-1</f>
        <v>64</v>
      </c>
      <c r="D51" s="20" t="str">
        <f aca="false">IF(C51&lt;สมมติฐาน!$B$8,"รับราชการ","รับบำนาญ")</f>
        <v>รับบำนาญ</v>
      </c>
      <c r="E51" s="21" t="n">
        <f aca="false">(1+สมมติฐาน!$B$43)^(A51-1)</f>
        <v>2.29724446602489</v>
      </c>
      <c r="F51" s="14" t="n">
        <f aca="false">IF(D51="รับราชการ",สมมติฐาน!$B$13*(1+สมมติฐาน!$B$15)^(A51-1)*E51,0)</f>
        <v>0</v>
      </c>
      <c r="G51" s="14" t="n">
        <f aca="false">F51*12</f>
        <v>0</v>
      </c>
      <c r="H51" s="14" t="n">
        <f aca="false">IF(D51="รับราชการ",IF(A51&gt;=สมมติฐาน!$B$19,สมมติฐาน!$B$18,IF(A51&gt;=สมมติฐาน!$B$17,สมมติฐาน!$B$16,0))*12*E51,0)</f>
        <v>0</v>
      </c>
      <c r="I51" s="14" t="n">
        <f aca="false">G51*สมมติฐาน!$B$21</f>
        <v>0</v>
      </c>
      <c r="J51" s="14" t="n">
        <f aca="false">IF(AND(D51="รับราชการ",A51&lt;=สมมติฐาน!$B$23),สมมติฐาน!$B$22*12*E51,0)</f>
        <v>0</v>
      </c>
      <c r="K51" s="14" t="n">
        <f aca="false">IF(AND(D51="รับราชการ",A51&gt;=สมมติฐาน!$B$27,A51&lt;สมมติฐาน!$B$27+สมมติฐาน!$B$28),สมมติฐาน!$B$25*สมมติฐาน!$B$26*E51,0)</f>
        <v>0</v>
      </c>
      <c r="L51" s="14" t="n">
        <f aca="false">G51*สมมติฐาน!$B$20</f>
        <v>0</v>
      </c>
      <c r="M51" s="19" t="n">
        <f aca="false">IF(D51="รับราชการ",สมมติฐาน!$B$30+IF(AND(A51&gt;=สมมติฐาน!$B$32,A51&lt;=สมมติฐาน!$B$33),สมมติฐาน!$B$31,0),0)</f>
        <v>0</v>
      </c>
      <c r="N51" s="19" t="n">
        <f aca="false">IF(AND(A51&gt;=สมมติฐาน!$B$35,A51&lt;=สมมติฐาน!$B$36),สมมติฐาน!$B$34,0)+IF(D51="รับราชการ",0,สมมติฐาน!$B$37)</f>
        <v>1</v>
      </c>
      <c r="O51" s="21" t="n">
        <f aca="false">(1+สมมติฐาน!$B$43)^(A51-1)*(1+สมมติฐาน!$B$44)^(A51-1)</f>
        <v>5.277332136682</v>
      </c>
      <c r="P51" s="14" t="n">
        <f aca="false">(M51*สมมติฐาน!$B$38+N51*สมมติฐาน!$B$39)*O51</f>
        <v>131933.30341705</v>
      </c>
      <c r="Q51" s="14" t="n">
        <f aca="false">IF(D51="รับราชการ",0,$AB$6*12*(1+สมมติฐาน!$B$46)^(A51-38-1))</f>
        <v>575678.115283025</v>
      </c>
      <c r="R51" s="14" t="n">
        <f aca="false">IF(C51=สมมติฐาน!$B$8,$AB$7,0)+IF(C51=65,$AB$9,0)+IF(A51=57,$AB$10+$AB$11,0)</f>
        <v>0</v>
      </c>
      <c r="S51" s="14" t="n">
        <f aca="false">G51+H51+I51+J51+K51+L51+P51+Q51+R51</f>
        <v>707611.418700076</v>
      </c>
      <c r="T51" s="14" t="n">
        <f aca="false">S51/E51</f>
        <v>308026.171861679</v>
      </c>
      <c r="U51" s="21" t="n">
        <f aca="false">1/(1+สมมติฐาน!$B$45)^(A51-1)</f>
        <v>0.192574930346654</v>
      </c>
      <c r="V51" s="14" t="n">
        <f aca="false">S51*U51</f>
        <v>136268.219668664</v>
      </c>
    </row>
    <row r="52" customFormat="false" ht="15" hidden="false" customHeight="true" outlineLevel="0" collapsed="false">
      <c r="A52" s="22" t="n">
        <v>44</v>
      </c>
      <c r="B52" s="22" t="n">
        <f aca="false">สมมติฐาน!$B$42+A52-1</f>
        <v>2612</v>
      </c>
      <c r="C52" s="22" t="n">
        <f aca="false">สมมติฐาน!$B$7+A52-1</f>
        <v>65</v>
      </c>
      <c r="D52" s="23" t="str">
        <f aca="false">IF(C52&lt;สมมติฐาน!$B$8,"รับราชการ","รับบำนาญ")</f>
        <v>รับบำนาญ</v>
      </c>
      <c r="E52" s="24" t="n">
        <f aca="false">(1+สมมติฐาน!$B$43)^(A52-1)</f>
        <v>2.34318935534539</v>
      </c>
      <c r="F52" s="25" t="n">
        <f aca="false">IF(D52="รับราชการ",สมมติฐาน!$B$13*(1+สมมติฐาน!$B$15)^(A52-1)*E52,0)</f>
        <v>0</v>
      </c>
      <c r="G52" s="25" t="n">
        <f aca="false">F52*12</f>
        <v>0</v>
      </c>
      <c r="H52" s="25" t="n">
        <f aca="false">IF(D52="รับราชการ",IF(A52&gt;=สมมติฐาน!$B$19,สมมติฐาน!$B$18,IF(A52&gt;=สมมติฐาน!$B$17,สมมติฐาน!$B$16,0))*12*E52,0)</f>
        <v>0</v>
      </c>
      <c r="I52" s="25" t="n">
        <f aca="false">G52*สมมติฐาน!$B$21</f>
        <v>0</v>
      </c>
      <c r="J52" s="25" t="n">
        <f aca="false">IF(AND(D52="รับราชการ",A52&lt;=สมมติฐาน!$B$23),สมมติฐาน!$B$22*12*E52,0)</f>
        <v>0</v>
      </c>
      <c r="K52" s="25" t="n">
        <f aca="false">IF(AND(D52="รับราชการ",A52&gt;=สมมติฐาน!$B$27,A52&lt;สมมติฐาน!$B$27+สมมติฐาน!$B$28),สมมติฐาน!$B$25*สมมติฐาน!$B$26*E52,0)</f>
        <v>0</v>
      </c>
      <c r="L52" s="25" t="n">
        <f aca="false">G52*สมมติฐาน!$B$20</f>
        <v>0</v>
      </c>
      <c r="M52" s="22" t="n">
        <f aca="false">IF(D52="รับราชการ",สมมติฐาน!$B$30+IF(AND(A52&gt;=สมมติฐาน!$B$32,A52&lt;=สมมติฐาน!$B$33),สมมติฐาน!$B$31,0),0)</f>
        <v>0</v>
      </c>
      <c r="N52" s="22" t="n">
        <f aca="false">IF(AND(A52&gt;=สมมติฐาน!$B$35,A52&lt;=สมมติฐาน!$B$36),สมมติฐาน!$B$34,0)+IF(D52="รับราชการ",0,สมมติฐาน!$B$37)</f>
        <v>1</v>
      </c>
      <c r="O52" s="24" t="n">
        <f aca="false">(1+สมมติฐาน!$B$43)^(A52-1)*(1+สมมติฐาน!$B$44)^(A52-1)</f>
        <v>5.49053635500395</v>
      </c>
      <c r="P52" s="25" t="n">
        <f aca="false">(M52*สมมติฐาน!$B$38+N52*สมมติฐาน!$B$39)*O52</f>
        <v>137263.408875099</v>
      </c>
      <c r="Q52" s="25" t="n">
        <f aca="false">IF(D52="รับราชการ",0,$AB$6*12*(1+สมมติฐาน!$B$46)^(A52-38-1))</f>
        <v>575678.115283025</v>
      </c>
      <c r="R52" s="25" t="n">
        <f aca="false">IF(C52=สมมติฐาน!$B$8,$AB$7,0)+IF(C52=65,$AB$9,0)+IF(A52=57,$AB$10+$AB$11,0)</f>
        <v>300000</v>
      </c>
      <c r="S52" s="25" t="n">
        <f aca="false">G52+H52+I52+J52+K52+L52+P52+Q52+R52</f>
        <v>1012941.52415812</v>
      </c>
      <c r="T52" s="25" t="n">
        <f aca="false">S52/E52</f>
        <v>432291.791462502</v>
      </c>
      <c r="U52" s="24" t="n">
        <f aca="false">1/(1+สมมติฐาน!$B$45)^(A52-1)</f>
        <v>0.185168202256398</v>
      </c>
      <c r="V52" s="25" t="n">
        <f aca="false">S52*U52</f>
        <v>187564.561019216</v>
      </c>
    </row>
    <row r="53" customFormat="false" ht="15" hidden="false" customHeight="true" outlineLevel="0" collapsed="false">
      <c r="A53" s="19" t="n">
        <v>45</v>
      </c>
      <c r="B53" s="19" t="n">
        <f aca="false">สมมติฐาน!$B$42+A53-1</f>
        <v>2613</v>
      </c>
      <c r="C53" s="19" t="n">
        <f aca="false">สมมติฐาน!$B$7+A53-1</f>
        <v>66</v>
      </c>
      <c r="D53" s="20" t="str">
        <f aca="false">IF(C53&lt;สมมติฐาน!$B$8,"รับราชการ","รับบำนาญ")</f>
        <v>รับบำนาญ</v>
      </c>
      <c r="E53" s="21" t="n">
        <f aca="false">(1+สมมติฐาน!$B$43)^(A53-1)</f>
        <v>2.3900531424523</v>
      </c>
      <c r="F53" s="14" t="n">
        <f aca="false">IF(D53="รับราชการ",สมมติฐาน!$B$13*(1+สมมติฐาน!$B$15)^(A53-1)*E53,0)</f>
        <v>0</v>
      </c>
      <c r="G53" s="14" t="n">
        <f aca="false">F53*12</f>
        <v>0</v>
      </c>
      <c r="H53" s="14" t="n">
        <f aca="false">IF(D53="รับราชการ",IF(A53&gt;=สมมติฐาน!$B$19,สมมติฐาน!$B$18,IF(A53&gt;=สมมติฐาน!$B$17,สมมติฐาน!$B$16,0))*12*E53,0)</f>
        <v>0</v>
      </c>
      <c r="I53" s="14" t="n">
        <f aca="false">G53*สมมติฐาน!$B$21</f>
        <v>0</v>
      </c>
      <c r="J53" s="14" t="n">
        <f aca="false">IF(AND(D53="รับราชการ",A53&lt;=สมมติฐาน!$B$23),สมมติฐาน!$B$22*12*E53,0)</f>
        <v>0</v>
      </c>
      <c r="K53" s="14" t="n">
        <f aca="false">IF(AND(D53="รับราชการ",A53&gt;=สมมติฐาน!$B$27,A53&lt;สมมติฐาน!$B$27+สมมติฐาน!$B$28),สมมติฐาน!$B$25*สมมติฐาน!$B$26*E53,0)</f>
        <v>0</v>
      </c>
      <c r="L53" s="14" t="n">
        <f aca="false">G53*สมมติฐาน!$B$20</f>
        <v>0</v>
      </c>
      <c r="M53" s="19" t="n">
        <f aca="false">IF(D53="รับราชการ",สมมติฐาน!$B$30+IF(AND(A53&gt;=สมมติฐาน!$B$32,A53&lt;=สมมติฐาน!$B$33),สมมติฐาน!$B$31,0),0)</f>
        <v>0</v>
      </c>
      <c r="N53" s="19" t="n">
        <f aca="false">IF(AND(A53&gt;=สมมติฐาน!$B$35,A53&lt;=สมมติฐาน!$B$36),สมมติฐาน!$B$34,0)+IF(D53="รับราชการ",0,สมมติฐาน!$B$37)</f>
        <v>1</v>
      </c>
      <c r="O53" s="21" t="n">
        <f aca="false">(1+สมมติฐาน!$B$43)^(A53-1)*(1+สมมติฐาน!$B$44)^(A53-1)</f>
        <v>5.71235402374611</v>
      </c>
      <c r="P53" s="14" t="n">
        <f aca="false">(M53*สมมติฐาน!$B$38+N53*สมมติฐาน!$B$39)*O53</f>
        <v>142808.850593653</v>
      </c>
      <c r="Q53" s="14" t="n">
        <f aca="false">IF(D53="รับราชการ",0,$AB$6*12*(1+สมมติฐาน!$B$46)^(A53-38-1))</f>
        <v>575678.115283025</v>
      </c>
      <c r="R53" s="14" t="n">
        <f aca="false">IF(C53=สมมติฐาน!$B$8,$AB$7,0)+IF(C53=65,$AB$9,0)+IF(A53=57,$AB$10+$AB$11,0)</f>
        <v>0</v>
      </c>
      <c r="S53" s="14" t="n">
        <f aca="false">G53+H53+I53+J53+K53+L53+P53+Q53+R53</f>
        <v>718486.965876678</v>
      </c>
      <c r="T53" s="14" t="n">
        <f aca="false">S53/E53</f>
        <v>300615.477168629</v>
      </c>
      <c r="U53" s="21" t="n">
        <f aca="false">1/(1+สมมติฐาน!$B$45)^(A53-1)</f>
        <v>0.17804634832346</v>
      </c>
      <c r="V53" s="14" t="n">
        <f aca="false">S53*U53</f>
        <v>127923.980592345</v>
      </c>
    </row>
    <row r="54" customFormat="false" ht="15" hidden="false" customHeight="true" outlineLevel="0" collapsed="false">
      <c r="A54" s="22" t="n">
        <v>46</v>
      </c>
      <c r="B54" s="22" t="n">
        <f aca="false">สมมติฐาน!$B$42+A54-1</f>
        <v>2614</v>
      </c>
      <c r="C54" s="22" t="n">
        <f aca="false">สมมติฐาน!$B$7+A54-1</f>
        <v>67</v>
      </c>
      <c r="D54" s="23" t="str">
        <f aca="false">IF(C54&lt;สมมติฐาน!$B$8,"รับราชการ","รับบำนาญ")</f>
        <v>รับบำนาญ</v>
      </c>
      <c r="E54" s="24" t="n">
        <f aca="false">(1+สมมติฐาน!$B$43)^(A54-1)</f>
        <v>2.43785420530135</v>
      </c>
      <c r="F54" s="25" t="n">
        <f aca="false">IF(D54="รับราชการ",สมมติฐาน!$B$13*(1+สมมติฐาน!$B$15)^(A54-1)*E54,0)</f>
        <v>0</v>
      </c>
      <c r="G54" s="25" t="n">
        <f aca="false">F54*12</f>
        <v>0</v>
      </c>
      <c r="H54" s="25" t="n">
        <f aca="false">IF(D54="รับราชการ",IF(A54&gt;=สมมติฐาน!$B$19,สมมติฐาน!$B$18,IF(A54&gt;=สมมติฐาน!$B$17,สมมติฐาน!$B$16,0))*12*E54,0)</f>
        <v>0</v>
      </c>
      <c r="I54" s="25" t="n">
        <f aca="false">G54*สมมติฐาน!$B$21</f>
        <v>0</v>
      </c>
      <c r="J54" s="25" t="n">
        <f aca="false">IF(AND(D54="รับราชการ",A54&lt;=สมมติฐาน!$B$23),สมมติฐาน!$B$22*12*E54,0)</f>
        <v>0</v>
      </c>
      <c r="K54" s="25" t="n">
        <f aca="false">IF(AND(D54="รับราชการ",A54&gt;=สมมติฐาน!$B$27,A54&lt;สมมติฐาน!$B$27+สมมติฐาน!$B$28),สมมติฐาน!$B$25*สมมติฐาน!$B$26*E54,0)</f>
        <v>0</v>
      </c>
      <c r="L54" s="25" t="n">
        <f aca="false">G54*สมมติฐาน!$B$20</f>
        <v>0</v>
      </c>
      <c r="M54" s="22" t="n">
        <f aca="false">IF(D54="รับราชการ",สมมติฐาน!$B$30+IF(AND(A54&gt;=สมมติฐาน!$B$32,A54&lt;=สมมติฐาน!$B$33),สมมติฐาน!$B$31,0),0)</f>
        <v>0</v>
      </c>
      <c r="N54" s="22" t="n">
        <f aca="false">IF(AND(A54&gt;=สมมติฐาน!$B$35,A54&lt;=สมมติฐาน!$B$36),สมมติฐาน!$B$34,0)+IF(D54="รับราชการ",0,สมมติฐาน!$B$37)</f>
        <v>1</v>
      </c>
      <c r="O54" s="24" t="n">
        <f aca="false">(1+สมมติฐาน!$B$43)^(A54-1)*(1+สมมติฐาน!$B$44)^(A54-1)</f>
        <v>5.94313312630546</v>
      </c>
      <c r="P54" s="25" t="n">
        <f aca="false">(M54*สมมติฐาน!$B$38+N54*สมมติฐาน!$B$39)*O54</f>
        <v>148578.328157636</v>
      </c>
      <c r="Q54" s="25" t="n">
        <f aca="false">IF(D54="รับราชการ",0,$AB$6*12*(1+สมมติฐาน!$B$46)^(A54-38-1))</f>
        <v>575678.115283025</v>
      </c>
      <c r="R54" s="25" t="n">
        <f aca="false">IF(C54=สมมติฐาน!$B$8,$AB$7,0)+IF(C54=65,$AB$9,0)+IF(A54=57,$AB$10+$AB$11,0)</f>
        <v>0</v>
      </c>
      <c r="S54" s="25" t="n">
        <f aca="false">G54+H54+I54+J54+K54+L54+P54+Q54+R54</f>
        <v>724256.443440662</v>
      </c>
      <c r="T54" s="25" t="n">
        <f aca="false">S54/E54</f>
        <v>297087.677296574</v>
      </c>
      <c r="U54" s="24" t="n">
        <f aca="false">1/(1+สมมติฐาน!$B$45)^(A54-1)</f>
        <v>0.171198411849481</v>
      </c>
      <c r="V54" s="25" t="n">
        <f aca="false">S54*U54</f>
        <v>123991.552888794</v>
      </c>
    </row>
    <row r="55" customFormat="false" ht="15" hidden="false" customHeight="true" outlineLevel="0" collapsed="false">
      <c r="A55" s="19" t="n">
        <v>47</v>
      </c>
      <c r="B55" s="19" t="n">
        <f aca="false">สมมติฐาน!$B$42+A55-1</f>
        <v>2615</v>
      </c>
      <c r="C55" s="19" t="n">
        <f aca="false">สมมติฐาน!$B$7+A55-1</f>
        <v>68</v>
      </c>
      <c r="D55" s="20" t="str">
        <f aca="false">IF(C55&lt;สมมติฐาน!$B$8,"รับราชการ","รับบำนาญ")</f>
        <v>รับบำนาญ</v>
      </c>
      <c r="E55" s="21" t="n">
        <f aca="false">(1+สมมติฐาน!$B$43)^(A55-1)</f>
        <v>2.48661128940737</v>
      </c>
      <c r="F55" s="14" t="n">
        <f aca="false">IF(D55="รับราชการ",สมมติฐาน!$B$13*(1+สมมติฐาน!$B$15)^(A55-1)*E55,0)</f>
        <v>0</v>
      </c>
      <c r="G55" s="14" t="n">
        <f aca="false">F55*12</f>
        <v>0</v>
      </c>
      <c r="H55" s="14" t="n">
        <f aca="false">IF(D55="รับราชการ",IF(A55&gt;=สมมติฐาน!$B$19,สมมติฐาน!$B$18,IF(A55&gt;=สมมติฐาน!$B$17,สมมติฐาน!$B$16,0))*12*E55,0)</f>
        <v>0</v>
      </c>
      <c r="I55" s="14" t="n">
        <f aca="false">G55*สมมติฐาน!$B$21</f>
        <v>0</v>
      </c>
      <c r="J55" s="14" t="n">
        <f aca="false">IF(AND(D55="รับราชการ",A55&lt;=สมมติฐาน!$B$23),สมมติฐาน!$B$22*12*E55,0)</f>
        <v>0</v>
      </c>
      <c r="K55" s="14" t="n">
        <f aca="false">IF(AND(D55="รับราชการ",A55&gt;=สมมติฐาน!$B$27,A55&lt;สมมติฐาน!$B$27+สมมติฐาน!$B$28),สมมติฐาน!$B$25*สมมติฐาน!$B$26*E55,0)</f>
        <v>0</v>
      </c>
      <c r="L55" s="14" t="n">
        <f aca="false">G55*สมมติฐาน!$B$20</f>
        <v>0</v>
      </c>
      <c r="M55" s="19" t="n">
        <f aca="false">IF(D55="รับราชการ",สมมติฐาน!$B$30+IF(AND(A55&gt;=สมมติฐาน!$B$32,A55&lt;=สมมติฐาน!$B$33),สมมติฐาน!$B$31,0),0)</f>
        <v>0</v>
      </c>
      <c r="N55" s="19" t="n">
        <f aca="false">IF(AND(A55&gt;=สมมติฐาน!$B$35,A55&lt;=สมมติฐาน!$B$36),สมมติฐาน!$B$34,0)+IF(D55="รับราชการ",0,สมมติฐาน!$B$37)</f>
        <v>1</v>
      </c>
      <c r="O55" s="21" t="n">
        <f aca="false">(1+สมมติฐาน!$B$43)^(A55-1)*(1+สมมติฐาน!$B$44)^(A55-1)</f>
        <v>6.1832357046082</v>
      </c>
      <c r="P55" s="14" t="n">
        <f aca="false">(M55*สมมติฐาน!$B$38+N55*สมมติฐาน!$B$39)*O55</f>
        <v>154580.892615205</v>
      </c>
      <c r="Q55" s="14" t="n">
        <f aca="false">IF(D55="รับราชการ",0,$AB$6*12*(1+สมมติฐาน!$B$46)^(A55-38-1))</f>
        <v>575678.115283025</v>
      </c>
      <c r="R55" s="14" t="n">
        <f aca="false">IF(C55=สมมติฐาน!$B$8,$AB$7,0)+IF(C55=65,$AB$9,0)+IF(A55=57,$AB$10+$AB$11,0)</f>
        <v>0</v>
      </c>
      <c r="S55" s="14" t="n">
        <f aca="false">G55+H55+I55+J55+K55+L55+P55+Q55+R55</f>
        <v>730259.00789823</v>
      </c>
      <c r="T55" s="14" t="n">
        <f aca="false">S55/E55</f>
        <v>293676.382396008</v>
      </c>
      <c r="U55" s="21" t="n">
        <f aca="false">1/(1+สมมติฐาน!$B$45)^(A55-1)</f>
        <v>0.164613857547577</v>
      </c>
      <c r="V55" s="14" t="n">
        <f aca="false">S55*U55</f>
        <v>120210.752298995</v>
      </c>
    </row>
    <row r="56" customFormat="false" ht="15" hidden="false" customHeight="true" outlineLevel="0" collapsed="false">
      <c r="A56" s="22" t="n">
        <v>48</v>
      </c>
      <c r="B56" s="22" t="n">
        <f aca="false">สมมติฐาน!$B$42+A56-1</f>
        <v>2616</v>
      </c>
      <c r="C56" s="22" t="n">
        <f aca="false">สมมติฐาน!$B$7+A56-1</f>
        <v>69</v>
      </c>
      <c r="D56" s="23" t="str">
        <f aca="false">IF(C56&lt;สมมติฐาน!$B$8,"รับราชการ","รับบำนาญ")</f>
        <v>รับบำนาญ</v>
      </c>
      <c r="E56" s="24" t="n">
        <f aca="false">(1+สมมติฐาน!$B$43)^(A56-1)</f>
        <v>2.53634351519552</v>
      </c>
      <c r="F56" s="25" t="n">
        <f aca="false">IF(D56="รับราชการ",สมมติฐาน!$B$13*(1+สมมติฐาน!$B$15)^(A56-1)*E56,0)</f>
        <v>0</v>
      </c>
      <c r="G56" s="25" t="n">
        <f aca="false">F56*12</f>
        <v>0</v>
      </c>
      <c r="H56" s="25" t="n">
        <f aca="false">IF(D56="รับราชการ",IF(A56&gt;=สมมติฐาน!$B$19,สมมติฐาน!$B$18,IF(A56&gt;=สมมติฐาน!$B$17,สมมติฐาน!$B$16,0))*12*E56,0)</f>
        <v>0</v>
      </c>
      <c r="I56" s="25" t="n">
        <f aca="false">G56*สมมติฐาน!$B$21</f>
        <v>0</v>
      </c>
      <c r="J56" s="25" t="n">
        <f aca="false">IF(AND(D56="รับราชการ",A56&lt;=สมมติฐาน!$B$23),สมมติฐาน!$B$22*12*E56,0)</f>
        <v>0</v>
      </c>
      <c r="K56" s="25" t="n">
        <f aca="false">IF(AND(D56="รับราชการ",A56&gt;=สมมติฐาน!$B$27,A56&lt;สมมติฐาน!$B$27+สมมติฐาน!$B$28),สมมติฐาน!$B$25*สมมติฐาน!$B$26*E56,0)</f>
        <v>0</v>
      </c>
      <c r="L56" s="25" t="n">
        <f aca="false">G56*สมมติฐาน!$B$20</f>
        <v>0</v>
      </c>
      <c r="M56" s="22" t="n">
        <f aca="false">IF(D56="รับราชการ",สมมติฐาน!$B$30+IF(AND(A56&gt;=สมมติฐาน!$B$32,A56&lt;=สมมติฐาน!$B$33),สมมติฐาน!$B$31,0),0)</f>
        <v>0</v>
      </c>
      <c r="N56" s="22" t="n">
        <f aca="false">IF(AND(A56&gt;=สมมติฐาน!$B$35,A56&lt;=สมมติฐาน!$B$36),สมมติฐาน!$B$34,0)+IF(D56="รับราชการ",0,สมมติฐาน!$B$37)</f>
        <v>1</v>
      </c>
      <c r="O56" s="24" t="n">
        <f aca="false">(1+สมมติฐาน!$B$43)^(A56-1)*(1+สมมติฐาน!$B$44)^(A56-1)</f>
        <v>6.43303842707437</v>
      </c>
      <c r="P56" s="25" t="n">
        <f aca="false">(M56*สมมติฐาน!$B$38+N56*สมมติฐาน!$B$39)*O56</f>
        <v>160825.960676859</v>
      </c>
      <c r="Q56" s="25" t="n">
        <f aca="false">IF(D56="รับราชการ",0,$AB$6*12*(1+สมมติฐาน!$B$46)^(A56-38-1))</f>
        <v>575678.115283025</v>
      </c>
      <c r="R56" s="25" t="n">
        <f aca="false">IF(C56=สมมติฐาน!$B$8,$AB$7,0)+IF(C56=65,$AB$9,0)+IF(A56=57,$AB$10+$AB$11,0)</f>
        <v>0</v>
      </c>
      <c r="S56" s="25" t="n">
        <f aca="false">G56+H56+I56+J56+K56+L56+P56+Q56+R56</f>
        <v>736504.075959885</v>
      </c>
      <c r="T56" s="25" t="n">
        <f aca="false">S56/E56</f>
        <v>290380.254704225</v>
      </c>
      <c r="U56" s="24" t="n">
        <f aca="false">1/(1+สมมติฐาน!$B$45)^(A56-1)</f>
        <v>0.158282555334209</v>
      </c>
      <c r="V56" s="25" t="n">
        <f aca="false">S56*U56</f>
        <v>116575.747156991</v>
      </c>
    </row>
    <row r="57" customFormat="false" ht="15" hidden="false" customHeight="true" outlineLevel="0" collapsed="false">
      <c r="A57" s="19" t="n">
        <v>49</v>
      </c>
      <c r="B57" s="19" t="n">
        <f aca="false">สมมติฐาน!$B$42+A57-1</f>
        <v>2617</v>
      </c>
      <c r="C57" s="19" t="n">
        <f aca="false">สมมติฐาน!$B$7+A57-1</f>
        <v>70</v>
      </c>
      <c r="D57" s="20" t="str">
        <f aca="false">IF(C57&lt;สมมติฐาน!$B$8,"รับราชการ","รับบำนาญ")</f>
        <v>รับบำนาญ</v>
      </c>
      <c r="E57" s="21" t="n">
        <f aca="false">(1+สมมติฐาน!$B$43)^(A57-1)</f>
        <v>2.58707038549943</v>
      </c>
      <c r="F57" s="14" t="n">
        <f aca="false">IF(D57="รับราชการ",สมมติฐาน!$B$13*(1+สมมติฐาน!$B$15)^(A57-1)*E57,0)</f>
        <v>0</v>
      </c>
      <c r="G57" s="14" t="n">
        <f aca="false">F57*12</f>
        <v>0</v>
      </c>
      <c r="H57" s="14" t="n">
        <f aca="false">IF(D57="รับราชการ",IF(A57&gt;=สมมติฐาน!$B$19,สมมติฐาน!$B$18,IF(A57&gt;=สมมติฐาน!$B$17,สมมติฐาน!$B$16,0))*12*E57,0)</f>
        <v>0</v>
      </c>
      <c r="I57" s="14" t="n">
        <f aca="false">G57*สมมติฐาน!$B$21</f>
        <v>0</v>
      </c>
      <c r="J57" s="14" t="n">
        <f aca="false">IF(AND(D57="รับราชการ",A57&lt;=สมมติฐาน!$B$23),สมมติฐาน!$B$22*12*E57,0)</f>
        <v>0</v>
      </c>
      <c r="K57" s="14" t="n">
        <f aca="false">IF(AND(D57="รับราชการ",A57&gt;=สมมติฐาน!$B$27,A57&lt;สมมติฐาน!$B$27+สมมติฐาน!$B$28),สมมติฐาน!$B$25*สมมติฐาน!$B$26*E57,0)</f>
        <v>0</v>
      </c>
      <c r="L57" s="14" t="n">
        <f aca="false">G57*สมมติฐาน!$B$20</f>
        <v>0</v>
      </c>
      <c r="M57" s="19" t="n">
        <f aca="false">IF(D57="รับราชการ",สมมติฐาน!$B$30+IF(AND(A57&gt;=สมมติฐาน!$B$32,A57&lt;=สมมติฐาน!$B$33),สมมติฐาน!$B$31,0),0)</f>
        <v>0</v>
      </c>
      <c r="N57" s="19" t="n">
        <f aca="false">IF(AND(A57&gt;=สมมติฐาน!$B$35,A57&lt;=สมมติฐาน!$B$36),สมมติฐาน!$B$34,0)+IF(D57="รับราชการ",0,สมมติฐาน!$B$37)</f>
        <v>1</v>
      </c>
      <c r="O57" s="21" t="n">
        <f aca="false">(1+สมมติฐาน!$B$43)^(A57-1)*(1+สมมติฐาน!$B$44)^(A57-1)</f>
        <v>6.69293317952817</v>
      </c>
      <c r="P57" s="14" t="n">
        <f aca="false">(M57*สมมติฐาน!$B$38+N57*สมมติฐาน!$B$39)*O57</f>
        <v>167323.329488204</v>
      </c>
      <c r="Q57" s="14" t="n">
        <f aca="false">IF(D57="รับราชการ",0,$AB$6*12*(1+สมมติฐาน!$B$46)^(A57-38-1))</f>
        <v>575678.115283025</v>
      </c>
      <c r="R57" s="14" t="n">
        <f aca="false">IF(C57=สมมติฐาน!$B$8,$AB$7,0)+IF(C57=65,$AB$9,0)+IF(A57=57,$AB$10+$AB$11,0)</f>
        <v>0</v>
      </c>
      <c r="S57" s="14" t="n">
        <f aca="false">G57+H57+I57+J57+K57+L57+P57+Q57+R57</f>
        <v>743001.44477123</v>
      </c>
      <c r="T57" s="14" t="n">
        <f aca="false">S57/E57</f>
        <v>287198.00162213</v>
      </c>
      <c r="U57" s="21" t="n">
        <f aca="false">1/(1+สมมติฐาน!$B$45)^(A57-1)</f>
        <v>0.152194764744432</v>
      </c>
      <c r="V57" s="14" t="n">
        <f aca="false">S57*U57</f>
        <v>113080.93009173</v>
      </c>
    </row>
    <row r="58" customFormat="false" ht="15" hidden="false" customHeight="true" outlineLevel="0" collapsed="false">
      <c r="A58" s="22" t="n">
        <v>50</v>
      </c>
      <c r="B58" s="22" t="n">
        <f aca="false">สมมติฐาน!$B$42+A58-1</f>
        <v>2618</v>
      </c>
      <c r="C58" s="22" t="n">
        <f aca="false">สมมติฐาน!$B$7+A58-1</f>
        <v>71</v>
      </c>
      <c r="D58" s="23" t="str">
        <f aca="false">IF(C58&lt;สมมติฐาน!$B$8,"รับราชการ","รับบำนาญ")</f>
        <v>รับบำนาญ</v>
      </c>
      <c r="E58" s="24" t="n">
        <f aca="false">(1+สมมติฐาน!$B$43)^(A58-1)</f>
        <v>2.63881179320942</v>
      </c>
      <c r="F58" s="25" t="n">
        <f aca="false">IF(D58="รับราชการ",สมมติฐาน!$B$13*(1+สมมติฐาน!$B$15)^(A58-1)*E58,0)</f>
        <v>0</v>
      </c>
      <c r="G58" s="25" t="n">
        <f aca="false">F58*12</f>
        <v>0</v>
      </c>
      <c r="H58" s="25" t="n">
        <f aca="false">IF(D58="รับราชการ",IF(A58&gt;=สมมติฐาน!$B$19,สมมติฐาน!$B$18,IF(A58&gt;=สมมติฐาน!$B$17,สมมติฐาน!$B$16,0))*12*E58,0)</f>
        <v>0</v>
      </c>
      <c r="I58" s="25" t="n">
        <f aca="false">G58*สมมติฐาน!$B$21</f>
        <v>0</v>
      </c>
      <c r="J58" s="25" t="n">
        <f aca="false">IF(AND(D58="รับราชการ",A58&lt;=สมมติฐาน!$B$23),สมมติฐาน!$B$22*12*E58,0)</f>
        <v>0</v>
      </c>
      <c r="K58" s="25" t="n">
        <f aca="false">IF(AND(D58="รับราชการ",A58&gt;=สมมติฐาน!$B$27,A58&lt;สมมติฐาน!$B$27+สมมติฐาน!$B$28),สมมติฐาน!$B$25*สมมติฐาน!$B$26*E58,0)</f>
        <v>0</v>
      </c>
      <c r="L58" s="25" t="n">
        <f aca="false">G58*สมมติฐาน!$B$20</f>
        <v>0</v>
      </c>
      <c r="M58" s="22" t="n">
        <f aca="false">IF(D58="รับราชการ",สมมติฐาน!$B$30+IF(AND(A58&gt;=สมมติฐาน!$B$32,A58&lt;=สมมติฐาน!$B$33),สมมติฐาน!$B$31,0),0)</f>
        <v>0</v>
      </c>
      <c r="N58" s="22" t="n">
        <f aca="false">IF(AND(A58&gt;=สมมติฐาน!$B$35,A58&lt;=สมมติฐาน!$B$36),สมมติฐาน!$B$34,0)+IF(D58="รับราชการ",0,สมมติฐาน!$B$37)</f>
        <v>1</v>
      </c>
      <c r="O58" s="24" t="n">
        <f aca="false">(1+สมมติฐาน!$B$43)^(A58-1)*(1+สมมติฐาน!$B$44)^(A58-1)</f>
        <v>6.96332767998111</v>
      </c>
      <c r="P58" s="25" t="n">
        <f aca="false">(M58*สมมติฐาน!$B$38+N58*สมมติฐาน!$B$39)*O58</f>
        <v>174083.191999528</v>
      </c>
      <c r="Q58" s="25" t="n">
        <f aca="false">IF(D58="รับราชการ",0,$AB$6*12*(1+สมมติฐาน!$B$46)^(A58-38-1))</f>
        <v>575678.115283025</v>
      </c>
      <c r="R58" s="25" t="n">
        <f aca="false">IF(C58=สมมติฐาน!$B$8,$AB$7,0)+IF(C58=65,$AB$9,0)+IF(A58=57,$AB$10+$AB$11,0)</f>
        <v>0</v>
      </c>
      <c r="S58" s="25" t="n">
        <f aca="false">G58+H58+I58+J58+K58+L58+P58+Q58+R58</f>
        <v>749761.307282553</v>
      </c>
      <c r="T58" s="25" t="n">
        <f aca="false">S58/E58</f>
        <v>284128.375207338</v>
      </c>
      <c r="U58" s="24" t="n">
        <f aca="false">1/(1+สมมติฐาน!$B$45)^(A58-1)</f>
        <v>0.146341119946569</v>
      </c>
      <c r="V58" s="25" t="n">
        <f aca="false">S58*U58</f>
        <v>109720.909400333</v>
      </c>
    </row>
    <row r="59" customFormat="false" ht="15" hidden="false" customHeight="true" outlineLevel="0" collapsed="false">
      <c r="A59" s="19" t="n">
        <v>51</v>
      </c>
      <c r="B59" s="19" t="n">
        <f aca="false">สมมติฐาน!$B$42+A59-1</f>
        <v>2619</v>
      </c>
      <c r="C59" s="19" t="n">
        <f aca="false">สมมติฐาน!$B$7+A59-1</f>
        <v>72</v>
      </c>
      <c r="D59" s="20" t="str">
        <f aca="false">IF(C59&lt;สมมติฐาน!$B$8,"รับราชการ","รับบำนาญ")</f>
        <v>รับบำนาญ</v>
      </c>
      <c r="E59" s="21" t="n">
        <f aca="false">(1+สมมติฐาน!$B$43)^(A59-1)</f>
        <v>2.69158802907361</v>
      </c>
      <c r="F59" s="14" t="n">
        <f aca="false">IF(D59="รับราชการ",สมมติฐาน!$B$13*(1+สมมติฐาน!$B$15)^(A59-1)*E59,0)</f>
        <v>0</v>
      </c>
      <c r="G59" s="14" t="n">
        <f aca="false">F59*12</f>
        <v>0</v>
      </c>
      <c r="H59" s="14" t="n">
        <f aca="false">IF(D59="รับราชการ",IF(A59&gt;=สมมติฐาน!$B$19,สมมติฐาน!$B$18,IF(A59&gt;=สมมติฐาน!$B$17,สมมติฐาน!$B$16,0))*12*E59,0)</f>
        <v>0</v>
      </c>
      <c r="I59" s="14" t="n">
        <f aca="false">G59*สมมติฐาน!$B$21</f>
        <v>0</v>
      </c>
      <c r="J59" s="14" t="n">
        <f aca="false">IF(AND(D59="รับราชการ",A59&lt;=สมมติฐาน!$B$23),สมมติฐาน!$B$22*12*E59,0)</f>
        <v>0</v>
      </c>
      <c r="K59" s="14" t="n">
        <f aca="false">IF(AND(D59="รับราชการ",A59&gt;=สมมติฐาน!$B$27,A59&lt;สมมติฐาน!$B$27+สมมติฐาน!$B$28),สมมติฐาน!$B$25*สมมติฐาน!$B$26*E59,0)</f>
        <v>0</v>
      </c>
      <c r="L59" s="14" t="n">
        <f aca="false">G59*สมมติฐาน!$B$20</f>
        <v>0</v>
      </c>
      <c r="M59" s="19" t="n">
        <f aca="false">IF(D59="รับราชการ",สมมติฐาน!$B$30+IF(AND(A59&gt;=สมมติฐาน!$B$32,A59&lt;=สมมติฐาน!$B$33),สมมติฐาน!$B$31,0),0)</f>
        <v>0</v>
      </c>
      <c r="N59" s="19" t="n">
        <f aca="false">IF(AND(A59&gt;=สมมติฐาน!$B$35,A59&lt;=สมมติฐาน!$B$36),สมมติฐาน!$B$34,0)+IF(D59="รับราชการ",0,สมมติฐาน!$B$37)</f>
        <v>1</v>
      </c>
      <c r="O59" s="21" t="n">
        <f aca="false">(1+สมมติฐาน!$B$43)^(A59-1)*(1+สมมติฐาน!$B$44)^(A59-1)</f>
        <v>7.24464611825235</v>
      </c>
      <c r="P59" s="14" t="n">
        <f aca="false">(M59*สมมติฐาน!$B$38+N59*สมมติฐาน!$B$39)*O59</f>
        <v>181116.152956309</v>
      </c>
      <c r="Q59" s="14" t="n">
        <f aca="false">IF(D59="รับราชการ",0,$AB$6*12*(1+สมมติฐาน!$B$46)^(A59-38-1))</f>
        <v>575678.115283025</v>
      </c>
      <c r="R59" s="14" t="n">
        <f aca="false">IF(C59=สมมติฐาน!$B$8,$AB$7,0)+IF(C59=65,$AB$9,0)+IF(A59=57,$AB$10+$AB$11,0)</f>
        <v>0</v>
      </c>
      <c r="S59" s="14" t="n">
        <f aca="false">G59+H59+I59+J59+K59+L59+P59+Q59+R59</f>
        <v>756794.268239334</v>
      </c>
      <c r="T59" s="14" t="n">
        <f aca="false">S59/E59</f>
        <v>281170.171684783</v>
      </c>
      <c r="U59" s="21" t="n">
        <f aca="false">1/(1+สมมติฐาน!$B$45)^(A59-1)</f>
        <v>0.140712615333239</v>
      </c>
      <c r="V59" s="14" t="n">
        <f aca="false">S59*U59</f>
        <v>106490.500753162</v>
      </c>
    </row>
    <row r="60" customFormat="false" ht="15" hidden="false" customHeight="true" outlineLevel="0" collapsed="false">
      <c r="A60" s="22" t="n">
        <v>52</v>
      </c>
      <c r="B60" s="22" t="n">
        <f aca="false">สมมติฐาน!$B$42+A60-1</f>
        <v>2620</v>
      </c>
      <c r="C60" s="22" t="n">
        <f aca="false">สมมติฐาน!$B$7+A60-1</f>
        <v>73</v>
      </c>
      <c r="D60" s="23" t="str">
        <f aca="false">IF(C60&lt;สมมติฐาน!$B$8,"รับราชการ","รับบำนาญ")</f>
        <v>รับบำนาญ</v>
      </c>
      <c r="E60" s="24" t="n">
        <f aca="false">(1+สมมติฐาน!$B$43)^(A60-1)</f>
        <v>2.74541978965508</v>
      </c>
      <c r="F60" s="25" t="n">
        <f aca="false">IF(D60="รับราชการ",สมมติฐาน!$B$13*(1+สมมติฐาน!$B$15)^(A60-1)*E60,0)</f>
        <v>0</v>
      </c>
      <c r="G60" s="25" t="n">
        <f aca="false">F60*12</f>
        <v>0</v>
      </c>
      <c r="H60" s="25" t="n">
        <f aca="false">IF(D60="รับราชการ",IF(A60&gt;=สมมติฐาน!$B$19,สมมติฐาน!$B$18,IF(A60&gt;=สมมติฐาน!$B$17,สมมติฐาน!$B$16,0))*12*E60,0)</f>
        <v>0</v>
      </c>
      <c r="I60" s="25" t="n">
        <f aca="false">G60*สมมติฐาน!$B$21</f>
        <v>0</v>
      </c>
      <c r="J60" s="25" t="n">
        <f aca="false">IF(AND(D60="รับราชการ",A60&lt;=สมมติฐาน!$B$23),สมมติฐาน!$B$22*12*E60,0)</f>
        <v>0</v>
      </c>
      <c r="K60" s="25" t="n">
        <f aca="false">IF(AND(D60="รับราชการ",A60&gt;=สมมติฐาน!$B$27,A60&lt;สมมติฐาน!$B$27+สมมติฐาน!$B$28),สมมติฐาน!$B$25*สมมติฐาน!$B$26*E60,0)</f>
        <v>0</v>
      </c>
      <c r="L60" s="25" t="n">
        <f aca="false">G60*สมมติฐาน!$B$20</f>
        <v>0</v>
      </c>
      <c r="M60" s="22" t="n">
        <f aca="false">IF(D60="รับราชการ",สมมติฐาน!$B$30+IF(AND(A60&gt;=สมมติฐาน!$B$32,A60&lt;=สมมติฐาน!$B$33),สมมติฐาน!$B$31,0),0)</f>
        <v>0</v>
      </c>
      <c r="N60" s="22" t="n">
        <f aca="false">IF(AND(A60&gt;=สมมติฐาน!$B$35,A60&lt;=สมมติฐาน!$B$36),สมมติฐาน!$B$34,0)+IF(D60="รับราชการ",0,สมมติฐาน!$B$37)</f>
        <v>1</v>
      </c>
      <c r="O60" s="24" t="n">
        <f aca="false">(1+สมมติฐาน!$B$43)^(A60-1)*(1+สมมติฐาน!$B$44)^(A60-1)</f>
        <v>7.53732982142974</v>
      </c>
      <c r="P60" s="25" t="n">
        <f aca="false">(M60*สมมติฐาน!$B$38+N60*สมมติฐาน!$B$39)*O60</f>
        <v>188433.245535744</v>
      </c>
      <c r="Q60" s="25" t="n">
        <f aca="false">IF(D60="รับราชการ",0,$AB$6*12*(1+สมมติฐาน!$B$46)^(A60-38-1))</f>
        <v>575678.115283025</v>
      </c>
      <c r="R60" s="25" t="n">
        <f aca="false">IF(C60=สมมติฐาน!$B$8,$AB$7,0)+IF(C60=65,$AB$9,0)+IF(A60=57,$AB$10+$AB$11,0)</f>
        <v>0</v>
      </c>
      <c r="S60" s="25" t="n">
        <f aca="false">G60+H60+I60+J60+K60+L60+P60+Q60+R60</f>
        <v>764111.360818769</v>
      </c>
      <c r="T60" s="25" t="n">
        <f aca="false">S60/E60</f>
        <v>278322.230974655</v>
      </c>
      <c r="U60" s="24" t="n">
        <f aca="false">1/(1+สมมติฐาน!$B$45)^(A60-1)</f>
        <v>0.135300591666576</v>
      </c>
      <c r="V60" s="25" t="n">
        <f aca="false">S60*U60</f>
        <v>103384.719217932</v>
      </c>
    </row>
    <row r="61" customFormat="false" ht="15" hidden="false" customHeight="true" outlineLevel="0" collapsed="false">
      <c r="A61" s="19" t="n">
        <v>53</v>
      </c>
      <c r="B61" s="19" t="n">
        <f aca="false">สมมติฐาน!$B$42+A61-1</f>
        <v>2621</v>
      </c>
      <c r="C61" s="19" t="n">
        <f aca="false">สมมติฐาน!$B$7+A61-1</f>
        <v>74</v>
      </c>
      <c r="D61" s="20" t="str">
        <f aca="false">IF(C61&lt;สมมติฐาน!$B$8,"รับราชการ","รับบำนาญ")</f>
        <v>รับบำนาญ</v>
      </c>
      <c r="E61" s="21" t="n">
        <f aca="false">(1+สมมติฐาน!$B$43)^(A61-1)</f>
        <v>2.80032818544818</v>
      </c>
      <c r="F61" s="14" t="n">
        <f aca="false">IF(D61="รับราชการ",สมมติฐาน!$B$13*(1+สมมติฐาน!$B$15)^(A61-1)*E61,0)</f>
        <v>0</v>
      </c>
      <c r="G61" s="14" t="n">
        <f aca="false">F61*12</f>
        <v>0</v>
      </c>
      <c r="H61" s="14" t="n">
        <f aca="false">IF(D61="รับราชการ",IF(A61&gt;=สมมติฐาน!$B$19,สมมติฐาน!$B$18,IF(A61&gt;=สมมติฐาน!$B$17,สมมติฐาน!$B$16,0))*12*E61,0)</f>
        <v>0</v>
      </c>
      <c r="I61" s="14" t="n">
        <f aca="false">G61*สมมติฐาน!$B$21</f>
        <v>0</v>
      </c>
      <c r="J61" s="14" t="n">
        <f aca="false">IF(AND(D61="รับราชการ",A61&lt;=สมมติฐาน!$B$23),สมมติฐาน!$B$22*12*E61,0)</f>
        <v>0</v>
      </c>
      <c r="K61" s="14" t="n">
        <f aca="false">IF(AND(D61="รับราชการ",A61&gt;=สมมติฐาน!$B$27,A61&lt;สมมติฐาน!$B$27+สมมติฐาน!$B$28),สมมติฐาน!$B$25*สมมติฐาน!$B$26*E61,0)</f>
        <v>0</v>
      </c>
      <c r="L61" s="14" t="n">
        <f aca="false">G61*สมมติฐาน!$B$20</f>
        <v>0</v>
      </c>
      <c r="M61" s="19" t="n">
        <f aca="false">IF(D61="รับราชการ",สมมติฐาน!$B$30+IF(AND(A61&gt;=สมมติฐาน!$B$32,A61&lt;=สมมติฐาน!$B$33),สมมติฐาน!$B$31,0),0)</f>
        <v>0</v>
      </c>
      <c r="N61" s="19" t="n">
        <f aca="false">IF(AND(A61&gt;=สมมติฐาน!$B$35,A61&lt;=สมมติฐาน!$B$36),สมมติฐาน!$B$34,0)+IF(D61="รับราชการ",0,สมมติฐาน!$B$37)</f>
        <v>1</v>
      </c>
      <c r="O61" s="21" t="n">
        <f aca="false">(1+สมมติฐาน!$B$43)^(A61-1)*(1+สมมติฐาน!$B$44)^(A61-1)</f>
        <v>7.84183794621551</v>
      </c>
      <c r="P61" s="14" t="n">
        <f aca="false">(M61*สมมติฐาน!$B$38+N61*สมมติฐาน!$B$39)*O61</f>
        <v>196045.948655388</v>
      </c>
      <c r="Q61" s="14" t="n">
        <f aca="false">IF(D61="รับราชการ",0,$AB$6*12*(1+สมมติฐาน!$B$46)^(A61-38-1))</f>
        <v>575678.115283025</v>
      </c>
      <c r="R61" s="14" t="n">
        <f aca="false">IF(C61=สมมติฐาน!$B$8,$AB$7,0)+IF(C61=65,$AB$9,0)+IF(A61=57,$AB$10+$AB$11,0)</f>
        <v>0</v>
      </c>
      <c r="S61" s="14" t="n">
        <f aca="false">G61+H61+I61+J61+K61+L61+P61+Q61+R61</f>
        <v>771724.063938413</v>
      </c>
      <c r="T61" s="14" t="n">
        <f aca="false">S61/E61</f>
        <v>275583.436237457</v>
      </c>
      <c r="U61" s="21" t="n">
        <f aca="false">1/(1+สมมติฐาน!$B$45)^(A61-1)</f>
        <v>0.130096722756323</v>
      </c>
      <c r="V61" s="14" t="n">
        <f aca="false">S61*U61</f>
        <v>100398.771590579</v>
      </c>
    </row>
    <row r="62" customFormat="false" ht="15" hidden="false" customHeight="true" outlineLevel="0" collapsed="false">
      <c r="A62" s="22" t="n">
        <v>54</v>
      </c>
      <c r="B62" s="22" t="n">
        <f aca="false">สมมติฐาน!$B$42+A62-1</f>
        <v>2622</v>
      </c>
      <c r="C62" s="22" t="n">
        <f aca="false">สมมติฐาน!$B$7+A62-1</f>
        <v>75</v>
      </c>
      <c r="D62" s="23" t="str">
        <f aca="false">IF(C62&lt;สมมติฐาน!$B$8,"รับราชการ","รับบำนาญ")</f>
        <v>รับบำนาญ</v>
      </c>
      <c r="E62" s="24" t="n">
        <f aca="false">(1+สมมติฐาน!$B$43)^(A62-1)</f>
        <v>2.85633474915715</v>
      </c>
      <c r="F62" s="25" t="n">
        <f aca="false">IF(D62="รับราชการ",สมมติฐาน!$B$13*(1+สมมติฐาน!$B$15)^(A62-1)*E62,0)</f>
        <v>0</v>
      </c>
      <c r="G62" s="25" t="n">
        <f aca="false">F62*12</f>
        <v>0</v>
      </c>
      <c r="H62" s="25" t="n">
        <f aca="false">IF(D62="รับราชการ",IF(A62&gt;=สมมติฐาน!$B$19,สมมติฐาน!$B$18,IF(A62&gt;=สมมติฐาน!$B$17,สมมติฐาน!$B$16,0))*12*E62,0)</f>
        <v>0</v>
      </c>
      <c r="I62" s="25" t="n">
        <f aca="false">G62*สมมติฐาน!$B$21</f>
        <v>0</v>
      </c>
      <c r="J62" s="25" t="n">
        <f aca="false">IF(AND(D62="รับราชการ",A62&lt;=สมมติฐาน!$B$23),สมมติฐาน!$B$22*12*E62,0)</f>
        <v>0</v>
      </c>
      <c r="K62" s="25" t="n">
        <f aca="false">IF(AND(D62="รับราชการ",A62&gt;=สมมติฐาน!$B$27,A62&lt;สมมติฐาน!$B$27+สมมติฐาน!$B$28),สมมติฐาน!$B$25*สมมติฐาน!$B$26*E62,0)</f>
        <v>0</v>
      </c>
      <c r="L62" s="25" t="n">
        <f aca="false">G62*สมมติฐาน!$B$20</f>
        <v>0</v>
      </c>
      <c r="M62" s="22" t="n">
        <f aca="false">IF(D62="รับราชการ",สมมติฐาน!$B$30+IF(AND(A62&gt;=สมมติฐาน!$B$32,A62&lt;=สมมติฐาน!$B$33),สมมติฐาน!$B$31,0),0)</f>
        <v>0</v>
      </c>
      <c r="N62" s="22" t="n">
        <f aca="false">IF(AND(A62&gt;=สมมติฐาน!$B$35,A62&lt;=สมมติฐาน!$B$36),สมมติฐาน!$B$34,0)+IF(D62="รับราชการ",0,สมมติฐาน!$B$37)</f>
        <v>1</v>
      </c>
      <c r="O62" s="24" t="n">
        <f aca="false">(1+สมมติฐาน!$B$43)^(A62-1)*(1+สมมติฐาน!$B$44)^(A62-1)</f>
        <v>8.15864819924261</v>
      </c>
      <c r="P62" s="25" t="n">
        <f aca="false">(M62*สมมติฐาน!$B$38+N62*สมมติฐาน!$B$39)*O62</f>
        <v>203966.204981065</v>
      </c>
      <c r="Q62" s="25" t="n">
        <f aca="false">IF(D62="รับราชการ",0,$AB$6*12*(1+สมมติฐาน!$B$46)^(A62-38-1))</f>
        <v>575678.115283025</v>
      </c>
      <c r="R62" s="25" t="n">
        <f aca="false">IF(C62=สมมติฐาน!$B$8,$AB$7,0)+IF(C62=65,$AB$9,0)+IF(A62=57,$AB$10+$AB$11,0)</f>
        <v>0</v>
      </c>
      <c r="S62" s="25" t="n">
        <f aca="false">G62+H62+I62+J62+K62+L62+P62+Q62+R62</f>
        <v>779644.320264091</v>
      </c>
      <c r="T62" s="25" t="n">
        <f aca="false">S62/E62</f>
        <v>272952.713436039</v>
      </c>
      <c r="U62" s="24" t="n">
        <f aca="false">1/(1+สมมติฐาน!$B$45)^(A62-1)</f>
        <v>0.125093002650311</v>
      </c>
      <c r="V62" s="25" t="n">
        <f aca="false">S62*U62</f>
        <v>97528.0490210958</v>
      </c>
    </row>
    <row r="63" customFormat="false" ht="15" hidden="false" customHeight="true" outlineLevel="0" collapsed="false">
      <c r="A63" s="19" t="n">
        <v>55</v>
      </c>
      <c r="B63" s="19" t="n">
        <f aca="false">สมมติฐาน!$B$42+A63-1</f>
        <v>2623</v>
      </c>
      <c r="C63" s="19" t="n">
        <f aca="false">สมมติฐาน!$B$7+A63-1</f>
        <v>76</v>
      </c>
      <c r="D63" s="20" t="str">
        <f aca="false">IF(C63&lt;สมมติฐาน!$B$8,"รับราชการ","รับบำนาญ")</f>
        <v>รับบำนาญ</v>
      </c>
      <c r="E63" s="21" t="n">
        <f aca="false">(1+สมมติฐาน!$B$43)^(A63-1)</f>
        <v>2.91346144414029</v>
      </c>
      <c r="F63" s="14" t="n">
        <f aca="false">IF(D63="รับราชการ",สมมติฐาน!$B$13*(1+สมมติฐาน!$B$15)^(A63-1)*E63,0)</f>
        <v>0</v>
      </c>
      <c r="G63" s="14" t="n">
        <f aca="false">F63*12</f>
        <v>0</v>
      </c>
      <c r="H63" s="14" t="n">
        <f aca="false">IF(D63="รับราชการ",IF(A63&gt;=สมมติฐาน!$B$19,สมมติฐาน!$B$18,IF(A63&gt;=สมมติฐาน!$B$17,สมมติฐาน!$B$16,0))*12*E63,0)</f>
        <v>0</v>
      </c>
      <c r="I63" s="14" t="n">
        <f aca="false">G63*สมมติฐาน!$B$21</f>
        <v>0</v>
      </c>
      <c r="J63" s="14" t="n">
        <f aca="false">IF(AND(D63="รับราชการ",A63&lt;=สมมติฐาน!$B$23),สมมติฐาน!$B$22*12*E63,0)</f>
        <v>0</v>
      </c>
      <c r="K63" s="14" t="n">
        <f aca="false">IF(AND(D63="รับราชการ",A63&gt;=สมมติฐาน!$B$27,A63&lt;สมมติฐาน!$B$27+สมมติฐาน!$B$28),สมมติฐาน!$B$25*สมมติฐาน!$B$26*E63,0)</f>
        <v>0</v>
      </c>
      <c r="L63" s="14" t="n">
        <f aca="false">G63*สมมติฐาน!$B$20</f>
        <v>0</v>
      </c>
      <c r="M63" s="19" t="n">
        <f aca="false">IF(D63="รับราชการ",สมมติฐาน!$B$30+IF(AND(A63&gt;=สมมติฐาน!$B$32,A63&lt;=สมมติฐาน!$B$33),สมมติฐาน!$B$31,0),0)</f>
        <v>0</v>
      </c>
      <c r="N63" s="19" t="n">
        <f aca="false">IF(AND(A63&gt;=สมมติฐาน!$B$35,A63&lt;=สมมติฐาน!$B$36),สมมติฐาน!$B$34,0)+IF(D63="รับราชการ",0,สมมติฐาน!$B$37)</f>
        <v>1</v>
      </c>
      <c r="O63" s="21" t="n">
        <f aca="false">(1+สมมติฐาน!$B$43)^(A63-1)*(1+สมมติฐาน!$B$44)^(A63-1)</f>
        <v>8.48825758649202</v>
      </c>
      <c r="P63" s="14" t="n">
        <f aca="false">(M63*สมมติฐาน!$B$38+N63*สมมติฐาน!$B$39)*O63</f>
        <v>212206.4396623</v>
      </c>
      <c r="Q63" s="14" t="n">
        <f aca="false">IF(D63="รับราชการ",0,$AB$6*12*(1+สมมติฐาน!$B$46)^(A63-38-1))</f>
        <v>575678.115283025</v>
      </c>
      <c r="R63" s="14" t="n">
        <f aca="false">IF(C63=สมมติฐาน!$B$8,$AB$7,0)+IF(C63=65,$AB$9,0)+IF(A63=57,$AB$10+$AB$11,0)</f>
        <v>0</v>
      </c>
      <c r="S63" s="14" t="n">
        <f aca="false">G63+H63+I63+J63+K63+L63+P63+Q63+R63</f>
        <v>787884.554945326</v>
      </c>
      <c r="T63" s="14" t="n">
        <f aca="false">S63/E63</f>
        <v>270429.0309144</v>
      </c>
      <c r="U63" s="21" t="n">
        <f aca="false">1/(1+สมมติฐาน!$B$45)^(A63-1)</f>
        <v>0.120281733317607</v>
      </c>
      <c r="V63" s="14" t="n">
        <f aca="false">S63*U63</f>
        <v>94768.119922995</v>
      </c>
    </row>
    <row r="64" customFormat="false" ht="15" hidden="false" customHeight="true" outlineLevel="0" collapsed="false">
      <c r="A64" s="22" t="n">
        <v>56</v>
      </c>
      <c r="B64" s="22" t="n">
        <f aca="false">สมมติฐาน!$B$42+A64-1</f>
        <v>2624</v>
      </c>
      <c r="C64" s="22" t="n">
        <f aca="false">สมมติฐาน!$B$7+A64-1</f>
        <v>77</v>
      </c>
      <c r="D64" s="23" t="str">
        <f aca="false">IF(C64&lt;สมมติฐาน!$B$8,"รับราชการ","รับบำนาญ")</f>
        <v>รับบำนาญ</v>
      </c>
      <c r="E64" s="24" t="n">
        <f aca="false">(1+สมมติฐาน!$B$43)^(A64-1)</f>
        <v>2.97173067302309</v>
      </c>
      <c r="F64" s="25" t="n">
        <f aca="false">IF(D64="รับราชการ",สมมติฐาน!$B$13*(1+สมมติฐาน!$B$15)^(A64-1)*E64,0)</f>
        <v>0</v>
      </c>
      <c r="G64" s="25" t="n">
        <f aca="false">F64*12</f>
        <v>0</v>
      </c>
      <c r="H64" s="25" t="n">
        <f aca="false">IF(D64="รับราชการ",IF(A64&gt;=สมมติฐาน!$B$19,สมมติฐาน!$B$18,IF(A64&gt;=สมมติฐาน!$B$17,สมมติฐาน!$B$16,0))*12*E64,0)</f>
        <v>0</v>
      </c>
      <c r="I64" s="25" t="n">
        <f aca="false">G64*สมมติฐาน!$B$21</f>
        <v>0</v>
      </c>
      <c r="J64" s="25" t="n">
        <f aca="false">IF(AND(D64="รับราชการ",A64&lt;=สมมติฐาน!$B$23),สมมติฐาน!$B$22*12*E64,0)</f>
        <v>0</v>
      </c>
      <c r="K64" s="25" t="n">
        <f aca="false">IF(AND(D64="รับราชการ",A64&gt;=สมมติฐาน!$B$27,A64&lt;สมมติฐาน!$B$27+สมมติฐาน!$B$28),สมมติฐาน!$B$25*สมมติฐาน!$B$26*E64,0)</f>
        <v>0</v>
      </c>
      <c r="L64" s="25" t="n">
        <f aca="false">G64*สมมติฐาน!$B$20</f>
        <v>0</v>
      </c>
      <c r="M64" s="22" t="n">
        <f aca="false">IF(D64="รับราชการ",สมมติฐาน!$B$30+IF(AND(A64&gt;=สมมติฐาน!$B$32,A64&lt;=สมมติฐาน!$B$33),สมมติฐาน!$B$31,0),0)</f>
        <v>0</v>
      </c>
      <c r="N64" s="22" t="n">
        <f aca="false">IF(AND(A64&gt;=สมมติฐาน!$B$35,A64&lt;=สมมติฐาน!$B$36),สมมติฐาน!$B$34,0)+IF(D64="รับราชการ",0,สมมติฐาน!$B$37)</f>
        <v>1</v>
      </c>
      <c r="O64" s="24" t="n">
        <f aca="false">(1+สมมติฐาน!$B$43)^(A64-1)*(1+สมมติฐาน!$B$44)^(A64-1)</f>
        <v>8.83118319298629</v>
      </c>
      <c r="P64" s="25" t="n">
        <f aca="false">(M64*สมมติฐาน!$B$38+N64*สมมติฐาน!$B$39)*O64</f>
        <v>220779.579824657</v>
      </c>
      <c r="Q64" s="25" t="n">
        <f aca="false">IF(D64="รับราชการ",0,$AB$6*12*(1+สมมติฐาน!$B$46)^(A64-38-1))</f>
        <v>575678.115283025</v>
      </c>
      <c r="R64" s="25" t="n">
        <f aca="false">IF(C64=สมมติฐาน!$B$8,$AB$7,0)+IF(C64=65,$AB$9,0)+IF(A64=57,$AB$10+$AB$11,0)</f>
        <v>0</v>
      </c>
      <c r="S64" s="25" t="n">
        <f aca="false">G64+H64+I64+J64+K64+L64+P64+Q64+R64</f>
        <v>796457.695107683</v>
      </c>
      <c r="T64" s="25" t="n">
        <f aca="false">S64/E64</f>
        <v>268011.398993119</v>
      </c>
      <c r="U64" s="24" t="n">
        <f aca="false">1/(1+สมมติฐาน!$B$45)^(A64-1)</f>
        <v>0.115655512805391</v>
      </c>
      <c r="V64" s="25" t="n">
        <f aca="false">S64*U64</f>
        <v>92114.7231554789</v>
      </c>
    </row>
    <row r="65" customFormat="false" ht="15" hidden="false" customHeight="true" outlineLevel="0" collapsed="false">
      <c r="A65" s="19" t="n">
        <v>57</v>
      </c>
      <c r="B65" s="19" t="n">
        <f aca="false">สมมติฐาน!$B$42+A65-1</f>
        <v>2625</v>
      </c>
      <c r="C65" s="19" t="n">
        <f aca="false">สมมติฐาน!$B$7+A65-1</f>
        <v>78</v>
      </c>
      <c r="D65" s="20" t="str">
        <f aca="false">IF(C65&lt;สมมติฐาน!$B$8,"รับราชการ","รับบำนาญ")</f>
        <v>รับบำนาญ</v>
      </c>
      <c r="E65" s="21" t="n">
        <f aca="false">(1+สมมติฐาน!$B$43)^(A65-1)</f>
        <v>3.03116528648356</v>
      </c>
      <c r="F65" s="14" t="n">
        <f aca="false">IF(D65="รับราชการ",สมมติฐาน!$B$13*(1+สมมติฐาน!$B$15)^(A65-1)*E65,0)</f>
        <v>0</v>
      </c>
      <c r="G65" s="14" t="n">
        <f aca="false">F65*12</f>
        <v>0</v>
      </c>
      <c r="H65" s="14" t="n">
        <f aca="false">IF(D65="รับราชการ",IF(A65&gt;=สมมติฐาน!$B$19,สมมติฐาน!$B$18,IF(A65&gt;=สมมติฐาน!$B$17,สมมติฐาน!$B$16,0))*12*E65,0)</f>
        <v>0</v>
      </c>
      <c r="I65" s="14" t="n">
        <f aca="false">G65*สมมติฐาน!$B$21</f>
        <v>0</v>
      </c>
      <c r="J65" s="14" t="n">
        <f aca="false">IF(AND(D65="รับราชการ",A65&lt;=สมมติฐาน!$B$23),สมมติฐาน!$B$22*12*E65,0)</f>
        <v>0</v>
      </c>
      <c r="K65" s="14" t="n">
        <f aca="false">IF(AND(D65="รับราชการ",A65&gt;=สมมติฐาน!$B$27,A65&lt;สมมติฐาน!$B$27+สมมติฐาน!$B$28),สมมติฐาน!$B$25*สมมติฐาน!$B$26*E65,0)</f>
        <v>0</v>
      </c>
      <c r="L65" s="14" t="n">
        <f aca="false">G65*สมมติฐาน!$B$20</f>
        <v>0</v>
      </c>
      <c r="M65" s="19" t="n">
        <f aca="false">IF(D65="รับราชการ",สมมติฐาน!$B$30+IF(AND(A65&gt;=สมมติฐาน!$B$32,A65&lt;=สมมติฐาน!$B$33),สมมติฐาน!$B$31,0),0)</f>
        <v>0</v>
      </c>
      <c r="N65" s="19" t="n">
        <f aca="false">IF(AND(A65&gt;=สมมติฐาน!$B$35,A65&lt;=สมมติฐาน!$B$36),สมมติฐาน!$B$34,0)+IF(D65="รับราชการ",0,สมมติฐาน!$B$37)</f>
        <v>1</v>
      </c>
      <c r="O65" s="21" t="n">
        <f aca="false">(1+สมมติฐาน!$B$43)^(A65-1)*(1+สมมติฐาน!$B$44)^(A65-1)</f>
        <v>9.18796299398294</v>
      </c>
      <c r="P65" s="14" t="n">
        <f aca="false">(M65*สมมติฐาน!$B$38+N65*สมมติฐาน!$B$39)*O65</f>
        <v>229699.074849574</v>
      </c>
      <c r="Q65" s="14" t="n">
        <f aca="false">IF(D65="รับราชการ",0,$AB$6*12*(1+สมมติฐาน!$B$46)^(A65-38-1))</f>
        <v>575678.115283025</v>
      </c>
      <c r="R65" s="14" t="n">
        <f aca="false">IF(C65=สมมติฐาน!$B$8,$AB$7,0)+IF(C65=65,$AB$9,0)+IF(A65=57,$AB$10+$AB$11,0)</f>
        <v>1083114.81702832</v>
      </c>
      <c r="S65" s="14" t="n">
        <f aca="false">G65+H65+I65+J65+K65+L65+P65+Q65+R65</f>
        <v>1888492.00716092</v>
      </c>
      <c r="T65" s="14" t="n">
        <f aca="false">S65/E65</f>
        <v>623025.08397744</v>
      </c>
      <c r="U65" s="21" t="n">
        <f aca="false">1/(1+สมมติฐาน!$B$45)^(A65-1)</f>
        <v>0.111207223851338</v>
      </c>
      <c r="V65" s="14" t="n">
        <f aca="false">S65*U65</f>
        <v>210013.953381806</v>
      </c>
    </row>
    <row r="66" customFormat="false" ht="15" hidden="false" customHeight="true" outlineLevel="0" collapsed="false">
      <c r="A66" s="6" t="s">
        <v>181</v>
      </c>
      <c r="G66" s="26" t="n">
        <f aca="false">SUM(G9:G65)</f>
        <v>16625423.7027371</v>
      </c>
      <c r="H66" s="26" t="n">
        <f aca="false">SUM(H9:H65)</f>
        <v>0</v>
      </c>
      <c r="I66" s="26" t="n">
        <f aca="false">SUM(I9:I65)</f>
        <v>831271.185136854</v>
      </c>
      <c r="J66" s="26" t="n">
        <f aca="false">SUM(J9:J65)</f>
        <v>0</v>
      </c>
      <c r="K66" s="26" t="n">
        <f aca="false">SUM(K9:K65)</f>
        <v>248006.808511749</v>
      </c>
      <c r="L66" s="26" t="n">
        <f aca="false">SUM(L9:L65)</f>
        <v>498762.711082112</v>
      </c>
      <c r="P66" s="26" t="n">
        <f aca="false">SUM(P9:P65)</f>
        <v>4911196.71296543</v>
      </c>
      <c r="Q66" s="26" t="n">
        <f aca="false">SUM(Q9:Q65)</f>
        <v>10937884.1903775</v>
      </c>
      <c r="R66" s="26" t="n">
        <f aca="false">SUM(R9:R65)</f>
        <v>1583114.81702832</v>
      </c>
      <c r="S66" s="26" t="n">
        <f aca="false">SUM(S9:S65)</f>
        <v>35635660.127839</v>
      </c>
      <c r="T66" s="26" t="n">
        <f aca="false">SUM(T9:T65)</f>
        <v>19064876.9964543</v>
      </c>
      <c r="V66" s="26" t="n">
        <f aca="false">SUM(V9:V65)</f>
        <v>11293360.4333601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4" min="13" style="1" width="10"/>
    <col collapsed="false" customWidth="true" hidden="false" outlineLevel="0" max="15" min="15" style="1" width="9"/>
    <col collapsed="false" customWidth="true" hidden="false" outlineLevel="0" max="17" min="16" style="1" width="14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9"/>
    <col collapsed="false" customWidth="true" hidden="false" outlineLevel="0" max="22" min="22" style="1" width="14"/>
    <col collapsed="false" customWidth="true" hidden="false" outlineLevel="0" max="25" min="25" style="1" width="36"/>
    <col collapsed="false" customWidth="true" hidden="false" outlineLevel="0" max="28" min="28" style="1" width="14"/>
  </cols>
  <sheetData>
    <row r="1" customFormat="false" ht="15.75" hidden="false" customHeight="true" outlineLevel="0" collapsed="false">
      <c r="A1" s="2" t="s">
        <v>182</v>
      </c>
    </row>
    <row r="2" customFormat="false" ht="15" hidden="false" customHeight="true" outlineLevel="0" collapsed="false">
      <c r="A2" s="3" t="s">
        <v>149</v>
      </c>
      <c r="Y2" s="6" t="s">
        <v>150</v>
      </c>
    </row>
    <row r="3" customFormat="false" ht="15" hidden="false" customHeight="true" outlineLevel="0" collapsed="false">
      <c r="Y3" s="7" t="s">
        <v>151</v>
      </c>
      <c r="AB3" s="14" t="n">
        <f aca="false">AVERAGE(F39:F43)</f>
        <v>92369.9671270887</v>
      </c>
    </row>
    <row r="4" customFormat="false" ht="15" hidden="false" customHeight="true" outlineLevel="0" collapsed="false">
      <c r="Y4" s="7" t="s">
        <v>152</v>
      </c>
      <c r="AB4" s="14" t="n">
        <f aca="false">MIN(AB3*สมมติฐาน!$C$10/สมมติฐาน!$B$48,AB3*สมมติฐาน!$B$47)</f>
        <v>64658.9769889621</v>
      </c>
    </row>
    <row r="5" customFormat="false" ht="15" hidden="false" customHeight="true" outlineLevel="0" collapsed="false">
      <c r="Y5" s="7" t="s">
        <v>153</v>
      </c>
      <c r="AB5" s="14" t="n">
        <f aca="false">MAX(0,สมมติฐาน!$B$49-AB4)</f>
        <v>0</v>
      </c>
    </row>
    <row r="6" customFormat="false" ht="15" hidden="false" customHeight="true" outlineLevel="0" collapsed="false">
      <c r="Y6" s="7" t="s">
        <v>154</v>
      </c>
      <c r="AB6" s="14" t="n">
        <f aca="false">AB4+AB5</f>
        <v>64658.9769889621</v>
      </c>
    </row>
    <row r="7" customFormat="false" ht="15" hidden="false" customHeight="true" outlineLevel="0" collapsed="false">
      <c r="Y7" s="7" t="s">
        <v>155</v>
      </c>
      <c r="AB7" s="14" t="n">
        <f aca="false">MIN(AB4*สมมติฐาน!$B$52,สมมติฐาน!$B$50)</f>
        <v>200000</v>
      </c>
    </row>
    <row r="8" customFormat="false" ht="42" hidden="false" customHeight="true" outlineLevel="0" collapsed="false">
      <c r="A8" s="8" t="s">
        <v>75</v>
      </c>
      <c r="B8" s="8" t="s">
        <v>156</v>
      </c>
      <c r="C8" s="8" t="s">
        <v>157</v>
      </c>
      <c r="D8" s="8" t="s">
        <v>158</v>
      </c>
      <c r="E8" s="8" t="s">
        <v>159</v>
      </c>
      <c r="F8" s="8" t="s">
        <v>160</v>
      </c>
      <c r="G8" s="8" t="s">
        <v>161</v>
      </c>
      <c r="H8" s="8" t="s">
        <v>162</v>
      </c>
      <c r="I8" s="8" t="s">
        <v>163</v>
      </c>
      <c r="J8" s="8" t="s">
        <v>164</v>
      </c>
      <c r="K8" s="8" t="s">
        <v>165</v>
      </c>
      <c r="L8" s="8" t="s">
        <v>166</v>
      </c>
      <c r="M8" s="8" t="s">
        <v>167</v>
      </c>
      <c r="N8" s="8" t="s">
        <v>168</v>
      </c>
      <c r="O8" s="8" t="s">
        <v>169</v>
      </c>
      <c r="P8" s="8" t="s">
        <v>170</v>
      </c>
      <c r="Q8" s="8" t="s">
        <v>171</v>
      </c>
      <c r="R8" s="8" t="s">
        <v>172</v>
      </c>
      <c r="S8" s="8" t="s">
        <v>173</v>
      </c>
      <c r="T8" s="8" t="s">
        <v>174</v>
      </c>
      <c r="U8" s="8" t="s">
        <v>175</v>
      </c>
      <c r="V8" s="8" t="s">
        <v>176</v>
      </c>
      <c r="Y8" s="7" t="s">
        <v>177</v>
      </c>
      <c r="AB8" s="14" t="n">
        <f aca="false">MIN(AB4*สมมติฐาน!$B$52,สมมติฐาน!$B$51)</f>
        <v>500000</v>
      </c>
    </row>
    <row r="9" customFormat="false" ht="15" hidden="false" customHeight="true" outlineLevel="0" collapsed="false">
      <c r="A9" s="19" t="n">
        <v>1</v>
      </c>
      <c r="B9" s="19" t="n">
        <f aca="false">สมมติฐาน!$B$42+A9-1</f>
        <v>2569</v>
      </c>
      <c r="C9" s="19" t="n">
        <f aca="false">สมมติฐาน!$C$7+A9-1</f>
        <v>25</v>
      </c>
      <c r="D9" s="20" t="str">
        <f aca="false">IF(C9&lt;สมมติฐาน!$C$8,"รับราชการ","รับบำนาญ")</f>
        <v>รับราชการ</v>
      </c>
      <c r="E9" s="21" t="n">
        <f aca="false">(1+สมมติฐาน!$B$43)^(A9-1)</f>
        <v>1</v>
      </c>
      <c r="F9" s="14" t="n">
        <f aca="false">IF(D9="รับราชการ",สมมติฐาน!$C$13*(1+สมมติฐาน!$C$15)^(A9-1)*E9,0)</f>
        <v>18220</v>
      </c>
      <c r="G9" s="14" t="n">
        <f aca="false">F9*12</f>
        <v>218640</v>
      </c>
      <c r="H9" s="14" t="n">
        <f aca="false">IF(D9="รับราชการ",IF(A9&gt;=สมมติฐาน!$C$19,สมมติฐาน!$C$18,IF(A9&gt;=สมมติฐาน!$C$17,สมมติฐาน!$C$16,0))*12*E9,0)</f>
        <v>0</v>
      </c>
      <c r="I9" s="14" t="n">
        <f aca="false">G9*สมมติฐาน!$C$21</f>
        <v>10932</v>
      </c>
      <c r="J9" s="14" t="n">
        <f aca="false">IF(AND(D9="รับราชการ",A9&lt;=สมมติฐาน!$C$23),สมมติฐาน!$C$22*12*E9,0)</f>
        <v>48000</v>
      </c>
      <c r="K9" s="14" t="n">
        <f aca="false">IF(AND(D9="รับราชการ",A9&gt;=สมมติฐาน!$C$27,A9&lt;สมมติฐาน!$C$27+สมมติฐาน!$C$28),สมมติฐาน!$C$25*สมมติฐาน!$C$26*E9,0)</f>
        <v>0</v>
      </c>
      <c r="L9" s="14" t="n">
        <f aca="false">G9*สมมติฐาน!$C$20</f>
        <v>6559.2</v>
      </c>
      <c r="M9" s="19" t="n">
        <f aca="false">IF(D9="รับราชการ",สมมติฐาน!$C$30+IF(AND(A9&gt;=สมมติฐาน!$C$32,A9&lt;=สมมติฐาน!$C$33),สมมติฐาน!$C$31,0),0)</f>
        <v>2</v>
      </c>
      <c r="N9" s="19" t="n">
        <f aca="false">IF(AND(A9&gt;=สมมติฐาน!$C$35,A9&lt;=สมมติฐาน!$C$36),สมมติฐาน!$C$34,0)+IF(D9="รับราชการ",0,สมมติฐาน!$C$37)</f>
        <v>2</v>
      </c>
      <c r="O9" s="21" t="n">
        <f aca="false">(1+สมมติฐาน!$B$43)^(A9-1)*(1+สมมติฐาน!$B$44)^(A9-1)</f>
        <v>1</v>
      </c>
      <c r="P9" s="14" t="n">
        <f aca="false">(M9*สมมติฐาน!$C$38+N9*สมมติฐาน!$C$39)*O9</f>
        <v>66000</v>
      </c>
      <c r="Q9" s="14" t="n">
        <f aca="false">IF(D9="รับราชการ",0,$AB$6*12*(1+สมมติฐาน!$B$46)^(A9-35-1))</f>
        <v>0</v>
      </c>
      <c r="R9" s="14" t="n">
        <f aca="false">IF(C9=สมมติฐาน!$C$8,$AB$7,0)+IF(C9=65,$AB$9,0)+IF(A9=58,$AB$10+$AB$11,0)</f>
        <v>0</v>
      </c>
      <c r="S9" s="14" t="n">
        <f aca="false">G9+H9+I9+J9+K9+L9+P9+Q9+R9</f>
        <v>350131.2</v>
      </c>
      <c r="T9" s="14" t="n">
        <f aca="false">S9/E9</f>
        <v>350131.2</v>
      </c>
      <c r="U9" s="21" t="n">
        <f aca="false">1/(1+สมมติฐาน!$B$45)^(A9-1)</f>
        <v>1</v>
      </c>
      <c r="V9" s="14" t="n">
        <f aca="false">S9*U9</f>
        <v>350131.2</v>
      </c>
      <c r="Y9" s="7" t="s">
        <v>178</v>
      </c>
      <c r="AB9" s="14" t="n">
        <f aca="false">AB8-AB7</f>
        <v>300000</v>
      </c>
    </row>
    <row r="10" customFormat="false" ht="15" hidden="false" customHeight="true" outlineLevel="0" collapsed="false">
      <c r="A10" s="22" t="n">
        <v>2</v>
      </c>
      <c r="B10" s="22" t="n">
        <f aca="false">สมมติฐาน!$B$42+A10-1</f>
        <v>2570</v>
      </c>
      <c r="C10" s="22" t="n">
        <f aca="false">สมมติฐาน!$C$7+A10-1</f>
        <v>26</v>
      </c>
      <c r="D10" s="23" t="str">
        <f aca="false">IF(C10&lt;สมมติฐาน!$C$8,"รับราชการ","รับบำนาญ")</f>
        <v>รับราชการ</v>
      </c>
      <c r="E10" s="24" t="n">
        <f aca="false">(1+สมมติฐาน!$B$43)^(A10-1)</f>
        <v>1.02</v>
      </c>
      <c r="F10" s="25" t="n">
        <f aca="false">IF(D10="รับราชการ",สมมติฐาน!$C$13*(1+สมมติฐาน!$C$15)^(A10-1)*E10,0)</f>
        <v>19166.5646701147</v>
      </c>
      <c r="G10" s="25" t="n">
        <f aca="false">F10*12</f>
        <v>229998.776041377</v>
      </c>
      <c r="H10" s="25" t="n">
        <f aca="false">IF(D10="รับราชการ",IF(A10&gt;=สมมติฐาน!$C$19,สมมติฐาน!$C$18,IF(A10&gt;=สมมติฐาน!$C$17,สมมติฐาน!$C$16,0))*12*E10,0)</f>
        <v>0</v>
      </c>
      <c r="I10" s="25" t="n">
        <f aca="false">G10*สมมติฐาน!$C$21</f>
        <v>11499.9388020688</v>
      </c>
      <c r="J10" s="25" t="n">
        <f aca="false">IF(AND(D10="รับราชการ",A10&lt;=สมมติฐาน!$C$23),สมมติฐาน!$C$22*12*E10,0)</f>
        <v>48960</v>
      </c>
      <c r="K10" s="25" t="n">
        <f aca="false">IF(AND(D10="รับราชการ",A10&gt;=สมมติฐาน!$C$27,A10&lt;สมมติฐาน!$C$27+สมมติฐาน!$C$28),สมมติฐาน!$C$25*สมมติฐาน!$C$26*E10,0)</f>
        <v>0</v>
      </c>
      <c r="L10" s="25" t="n">
        <f aca="false">G10*สมมติฐาน!$C$20</f>
        <v>6899.9632812413</v>
      </c>
      <c r="M10" s="22" t="n">
        <f aca="false">IF(D10="รับราชการ",สมมติฐาน!$C$30+IF(AND(A10&gt;=สมมติฐาน!$C$32,A10&lt;=สมมติฐาน!$C$33),สมมติฐาน!$C$31,0),0)</f>
        <v>2</v>
      </c>
      <c r="N10" s="22" t="n">
        <f aca="false">IF(AND(A10&gt;=สมมติฐาน!$C$35,A10&lt;=สมมติฐาน!$C$36),สมมติฐาน!$C$34,0)+IF(D10="รับราชการ",0,สมมติฐาน!$C$37)</f>
        <v>2</v>
      </c>
      <c r="O10" s="24" t="n">
        <f aca="false">(1+สมมติฐาน!$B$43)^(A10-1)*(1+สมมติฐาน!$B$44)^(A10-1)</f>
        <v>1.0404</v>
      </c>
      <c r="P10" s="25" t="n">
        <f aca="false">(M10*สมมติฐาน!$C$38+N10*สมมติฐาน!$C$39)*O10</f>
        <v>68666.4</v>
      </c>
      <c r="Q10" s="25" t="n">
        <f aca="false">IF(D10="รับราชการ",0,$AB$6*12*(1+สมมติฐาน!$B$46)^(A10-35-1))</f>
        <v>0</v>
      </c>
      <c r="R10" s="25" t="n">
        <f aca="false">IF(C10=สมมติฐาน!$C$8,$AB$7,0)+IF(C10=65,$AB$9,0)+IF(A10=58,$AB$10+$AB$11,0)</f>
        <v>0</v>
      </c>
      <c r="S10" s="25" t="n">
        <f aca="false">G10+H10+I10+J10+K10+L10+P10+Q10+R10</f>
        <v>366025.078124687</v>
      </c>
      <c r="T10" s="25" t="n">
        <f aca="false">S10/E10</f>
        <v>358848.115808517</v>
      </c>
      <c r="U10" s="24" t="n">
        <f aca="false">1/(1+สมมติฐาน!$B$45)^(A10-1)</f>
        <v>0.961538461538462</v>
      </c>
      <c r="V10" s="25" t="n">
        <f aca="false">S10*U10</f>
        <v>351947.190504507</v>
      </c>
      <c r="Y10" s="7" t="s">
        <v>179</v>
      </c>
      <c r="AB10" s="14" t="n">
        <f aca="false">MAX(0,AB6*สมมติฐาน!$B$53-AB8)</f>
        <v>1439769.30966886</v>
      </c>
    </row>
    <row r="11" customFormat="false" ht="15" hidden="false" customHeight="true" outlineLevel="0" collapsed="false">
      <c r="A11" s="19" t="n">
        <v>3</v>
      </c>
      <c r="B11" s="19" t="n">
        <f aca="false">สมมติฐาน!$B$42+A11-1</f>
        <v>2571</v>
      </c>
      <c r="C11" s="19" t="n">
        <f aca="false">สมมติฐาน!$C$7+A11-1</f>
        <v>27</v>
      </c>
      <c r="D11" s="20" t="str">
        <f aca="false">IF(C11&lt;สมมติฐาน!$C$8,"รับราชการ","รับบำนาญ")</f>
        <v>รับราชการ</v>
      </c>
      <c r="E11" s="21" t="n">
        <f aca="false">(1+สมมติฐาน!$B$43)^(A11-1)</f>
        <v>1.0404</v>
      </c>
      <c r="F11" s="14" t="n">
        <f aca="false">IF(D11="รับราชการ",สมมติฐาน!$C$13*(1+สมมติฐาน!$C$15)^(A11-1)*E11,0)</f>
        <v>20162.3052279742</v>
      </c>
      <c r="G11" s="14" t="n">
        <f aca="false">F11*12</f>
        <v>241947.662735691</v>
      </c>
      <c r="H11" s="14" t="n">
        <f aca="false">IF(D11="รับราชการ",IF(A11&gt;=สมมติฐาน!$C$19,สมมติฐาน!$C$18,IF(A11&gt;=สมมติฐาน!$C$17,สมมติฐาน!$C$16,0))*12*E11,0)</f>
        <v>0</v>
      </c>
      <c r="I11" s="14" t="n">
        <f aca="false">G11*สมมติฐาน!$C$21</f>
        <v>12097.3831367845</v>
      </c>
      <c r="J11" s="14" t="n">
        <f aca="false">IF(AND(D11="รับราชการ",A11&lt;=สมมติฐาน!$C$23),สมมติฐาน!$C$22*12*E11,0)</f>
        <v>49939.2</v>
      </c>
      <c r="K11" s="14" t="n">
        <f aca="false">IF(AND(D11="รับราชการ",A11&gt;=สมมติฐาน!$C$27,A11&lt;สมมติฐาน!$C$27+สมมติฐาน!$C$28),สมมติฐาน!$C$25*สมมติฐาน!$C$26*E11,0)</f>
        <v>0</v>
      </c>
      <c r="L11" s="14" t="n">
        <f aca="false">G11*สมมติฐาน!$C$20</f>
        <v>7258.42988207072</v>
      </c>
      <c r="M11" s="19" t="n">
        <f aca="false">IF(D11="รับราชการ",สมมติฐาน!$C$30+IF(AND(A11&gt;=สมมติฐาน!$C$32,A11&lt;=สมมติฐาน!$C$33),สมมติฐาน!$C$31,0),0)</f>
        <v>2</v>
      </c>
      <c r="N11" s="19" t="n">
        <f aca="false">IF(AND(A11&gt;=สมมติฐาน!$C$35,A11&lt;=สมมติฐาน!$C$36),สมมติฐาน!$C$34,0)+IF(D11="รับราชการ",0,สมมติฐาน!$C$37)</f>
        <v>2</v>
      </c>
      <c r="O11" s="21" t="n">
        <f aca="false">(1+สมมติฐาน!$B$43)^(A11-1)*(1+สมมติฐาน!$B$44)^(A11-1)</f>
        <v>1.08243216</v>
      </c>
      <c r="P11" s="14" t="n">
        <f aca="false">(M11*สมมติฐาน!$C$38+N11*สมมติฐาน!$C$39)*O11</f>
        <v>71440.52256</v>
      </c>
      <c r="Q11" s="14" t="n">
        <f aca="false">IF(D11="รับราชการ",0,$AB$6*12*(1+สมมติฐาน!$B$46)^(A11-35-1))</f>
        <v>0</v>
      </c>
      <c r="R11" s="14" t="n">
        <f aca="false">IF(C11=สมมติฐาน!$C$8,$AB$7,0)+IF(C11=65,$AB$9,0)+IF(A11=58,$AB$10+$AB$11,0)</f>
        <v>0</v>
      </c>
      <c r="S11" s="14" t="n">
        <f aca="false">G11+H11+I11+J11+K11+L11+P11+Q11+R11</f>
        <v>382683.198314546</v>
      </c>
      <c r="T11" s="14" t="n">
        <f aca="false">S11/E11</f>
        <v>367823.143324246</v>
      </c>
      <c r="U11" s="21" t="n">
        <f aca="false">1/(1+สมมติฐาน!$B$45)^(A11-1)</f>
        <v>0.924556213017751</v>
      </c>
      <c r="V11" s="14" t="n">
        <f aca="false">S11*U11</f>
        <v>353812.128619218</v>
      </c>
      <c r="Y11" s="7" t="s">
        <v>180</v>
      </c>
      <c r="AB11" s="14" t="n">
        <f aca="false">AB6*สมมติฐาน!$B$54</f>
        <v>193976.930966886</v>
      </c>
    </row>
    <row r="12" customFormat="false" ht="15" hidden="false" customHeight="true" outlineLevel="0" collapsed="false">
      <c r="A12" s="22" t="n">
        <v>4</v>
      </c>
      <c r="B12" s="22" t="n">
        <f aca="false">สมมติฐาน!$B$42+A12-1</f>
        <v>2572</v>
      </c>
      <c r="C12" s="22" t="n">
        <f aca="false">สมมติฐาน!$C$7+A12-1</f>
        <v>28</v>
      </c>
      <c r="D12" s="23" t="str">
        <f aca="false">IF(C12&lt;สมมติฐาน!$C$8,"รับราชการ","รับบำนาญ")</f>
        <v>รับราชการ</v>
      </c>
      <c r="E12" s="24" t="n">
        <f aca="false">(1+สมมติฐาน!$B$43)^(A12-1)</f>
        <v>1.061208</v>
      </c>
      <c r="F12" s="25" t="n">
        <f aca="false">IF(D12="รับราชการ",สมมติฐาน!$C$13*(1+สมมติฐาน!$C$15)^(A12-1)*E12,0)</f>
        <v>21209.7764572207</v>
      </c>
      <c r="G12" s="25" t="n">
        <f aca="false">F12*12</f>
        <v>254517.317486648</v>
      </c>
      <c r="H12" s="25" t="n">
        <f aca="false">IF(D12="รับราชการ",IF(A12&gt;=สมมติฐาน!$C$19,สมมติฐาน!$C$18,IF(A12&gt;=สมมติฐาน!$C$17,สมมติฐาน!$C$16,0))*12*E12,0)</f>
        <v>0</v>
      </c>
      <c r="I12" s="25" t="n">
        <f aca="false">G12*สมมติฐาน!$C$21</f>
        <v>12725.8658743324</v>
      </c>
      <c r="J12" s="25" t="n">
        <f aca="false">IF(AND(D12="รับราชการ",A12&lt;=สมมติฐาน!$C$23),สมมติฐาน!$C$22*12*E12,0)</f>
        <v>50937.984</v>
      </c>
      <c r="K12" s="25" t="n">
        <f aca="false">IF(AND(D12="รับราชการ",A12&gt;=สมมติฐาน!$C$27,A12&lt;สมมติฐาน!$C$27+สมมติฐาน!$C$28),สมมติฐาน!$C$25*สมมติฐาน!$C$26*E12,0)</f>
        <v>0</v>
      </c>
      <c r="L12" s="25" t="n">
        <f aca="false">G12*สมมติฐาน!$C$20</f>
        <v>7635.51952459943</v>
      </c>
      <c r="M12" s="22" t="n">
        <f aca="false">IF(D12="รับราชการ",สมมติฐาน!$C$30+IF(AND(A12&gt;=สมมติฐาน!$C$32,A12&lt;=สมมติฐาน!$C$33),สมมติฐาน!$C$31,0),0)</f>
        <v>2</v>
      </c>
      <c r="N12" s="22" t="n">
        <f aca="false">IF(AND(A12&gt;=สมมติฐาน!$C$35,A12&lt;=สมมติฐาน!$C$36),สมมติฐาน!$C$34,0)+IF(D12="รับราชการ",0,สมมติฐาน!$C$37)</f>
        <v>2</v>
      </c>
      <c r="O12" s="24" t="n">
        <f aca="false">(1+สมมติฐาน!$B$43)^(A12-1)*(1+สมมติฐาน!$B$44)^(A12-1)</f>
        <v>1.126162419264</v>
      </c>
      <c r="P12" s="25" t="n">
        <f aca="false">(M12*สมมติฐาน!$C$38+N12*สมมติฐาน!$C$39)*O12</f>
        <v>74326.719671424</v>
      </c>
      <c r="Q12" s="25" t="n">
        <f aca="false">IF(D12="รับราชการ",0,$AB$6*12*(1+สมมติฐาน!$B$46)^(A12-35-1))</f>
        <v>0</v>
      </c>
      <c r="R12" s="25" t="n">
        <f aca="false">IF(C12=สมมติฐาน!$C$8,$AB$7,0)+IF(C12=65,$AB$9,0)+IF(A12=58,$AB$10+$AB$11,0)</f>
        <v>0</v>
      </c>
      <c r="S12" s="25" t="n">
        <f aca="false">G12+H12+I12+J12+K12+L12+P12+Q12+R12</f>
        <v>400143.406557004</v>
      </c>
      <c r="T12" s="25" t="n">
        <f aca="false">S12/E12</f>
        <v>377064.069020403</v>
      </c>
      <c r="U12" s="24" t="n">
        <f aca="false">1/(1+สมมติฐาน!$B$45)^(A12-1)</f>
        <v>0.888996358670915</v>
      </c>
      <c r="V12" s="25" t="n">
        <f aca="false">S12*U12</f>
        <v>355726.031375352</v>
      </c>
    </row>
    <row r="13" customFormat="false" ht="15" hidden="false" customHeight="true" outlineLevel="0" collapsed="false">
      <c r="A13" s="19" t="n">
        <v>5</v>
      </c>
      <c r="B13" s="19" t="n">
        <f aca="false">สมมติฐาน!$B$42+A13-1</f>
        <v>2573</v>
      </c>
      <c r="C13" s="19" t="n">
        <f aca="false">สมมติฐาน!$C$7+A13-1</f>
        <v>29</v>
      </c>
      <c r="D13" s="20" t="str">
        <f aca="false">IF(C13&lt;สมมติฐาน!$C$8,"รับราชการ","รับบำนาญ")</f>
        <v>รับราชการ</v>
      </c>
      <c r="E13" s="21" t="n">
        <f aca="false">(1+สมมติฐาน!$B$43)^(A13-1)</f>
        <v>1.08243216</v>
      </c>
      <c r="F13" s="14" t="n">
        <f aca="false">IF(D13="รับราชการ",สมมติฐาน!$C$13*(1+สมมติฐาน!$C$15)^(A13-1)*E13,0)</f>
        <v>22311.665867508</v>
      </c>
      <c r="G13" s="14" t="n">
        <f aca="false">F13*12</f>
        <v>267739.990410097</v>
      </c>
      <c r="H13" s="14" t="n">
        <f aca="false">IF(D13="รับราชการ",IF(A13&gt;=สมมติฐาน!$C$19,สมมติฐาน!$C$18,IF(A13&gt;=สมมติฐาน!$C$17,สมมติฐาน!$C$16,0))*12*E13,0)</f>
        <v>0</v>
      </c>
      <c r="I13" s="14" t="n">
        <f aca="false">G13*สมมติฐาน!$C$21</f>
        <v>13386.9995205048</v>
      </c>
      <c r="J13" s="14" t="n">
        <f aca="false">IF(AND(D13="รับราชการ",A13&lt;=สมมติฐาน!$C$23),สมมติฐาน!$C$22*12*E13,0)</f>
        <v>51956.74368</v>
      </c>
      <c r="K13" s="14" t="n">
        <f aca="false">IF(AND(D13="รับราชการ",A13&gt;=สมมติฐาน!$C$27,A13&lt;สมมติฐาน!$C$27+สมมติฐาน!$C$28),สมมติฐาน!$C$25*สมมติฐาน!$C$26*E13,0)</f>
        <v>0</v>
      </c>
      <c r="L13" s="14" t="n">
        <f aca="false">G13*สมมติฐาน!$C$20</f>
        <v>8032.19971230289</v>
      </c>
      <c r="M13" s="19" t="n">
        <f aca="false">IF(D13="รับราชการ",สมมติฐาน!$C$30+IF(AND(A13&gt;=สมมติฐาน!$C$32,A13&lt;=สมมติฐาน!$C$33),สมมติฐาน!$C$31,0),0)</f>
        <v>2</v>
      </c>
      <c r="N13" s="19" t="n">
        <f aca="false">IF(AND(A13&gt;=สมมติฐาน!$C$35,A13&lt;=สมมติฐาน!$C$36),สมมติฐาน!$C$34,0)+IF(D13="รับราชการ",0,สมมติฐาน!$C$37)</f>
        <v>2</v>
      </c>
      <c r="O13" s="21" t="n">
        <f aca="false">(1+สมมติฐาน!$B$43)^(A13-1)*(1+สมมติฐาน!$B$44)^(A13-1)</f>
        <v>1.17165938100227</v>
      </c>
      <c r="P13" s="14" t="n">
        <f aca="false">(M13*สมมติฐาน!$C$38+N13*สมมติฐาน!$C$39)*O13</f>
        <v>77329.5191461495</v>
      </c>
      <c r="Q13" s="14" t="n">
        <f aca="false">IF(D13="รับราชการ",0,$AB$6*12*(1+สมมติฐาน!$B$46)^(A13-35-1))</f>
        <v>0</v>
      </c>
      <c r="R13" s="14" t="n">
        <f aca="false">IF(C13=สมมติฐาน!$C$8,$AB$7,0)+IF(C13=65,$AB$9,0)+IF(A13=58,$AB$10+$AB$11,0)</f>
        <v>0</v>
      </c>
      <c r="S13" s="14" t="n">
        <f aca="false">G13+H13+I13+J13+K13+L13+P13+Q13+R13</f>
        <v>418445.452469054</v>
      </c>
      <c r="T13" s="14" t="n">
        <f aca="false">S13/E13</f>
        <v>386578.91730513</v>
      </c>
      <c r="U13" s="21" t="n">
        <f aca="false">1/(1+สมมติฐาน!$B$45)^(A13-1)</f>
        <v>0.854804191029726</v>
      </c>
      <c r="V13" s="14" t="n">
        <f aca="false">S13*U13</f>
        <v>357688.926487877</v>
      </c>
    </row>
    <row r="14" customFormat="false" ht="15" hidden="false" customHeight="true" outlineLevel="0" collapsed="false">
      <c r="A14" s="22" t="n">
        <v>6</v>
      </c>
      <c r="B14" s="22" t="n">
        <f aca="false">สมมติฐาน!$B$42+A14-1</f>
        <v>2574</v>
      </c>
      <c r="C14" s="22" t="n">
        <f aca="false">สมมติฐาน!$C$7+A14-1</f>
        <v>30</v>
      </c>
      <c r="D14" s="23" t="str">
        <f aca="false">IF(C14&lt;สมมติฐาน!$C$8,"รับราชการ","รับบำนาญ")</f>
        <v>รับราชการ</v>
      </c>
      <c r="E14" s="24" t="n">
        <f aca="false">(1+สมมติฐาน!$B$43)^(A14-1)</f>
        <v>1.1040808032</v>
      </c>
      <c r="F14" s="25" t="n">
        <f aca="false">IF(D14="รับราชการ",สมมติฐาน!$C$13*(1+สมมติฐาน!$C$15)^(A14-1)*E14,0)</f>
        <v>23470.8005898784</v>
      </c>
      <c r="G14" s="25" t="n">
        <f aca="false">F14*12</f>
        <v>281649.607078541</v>
      </c>
      <c r="H14" s="25" t="n">
        <f aca="false">IF(D14="รับราชการ",IF(A14&gt;=สมมติฐาน!$C$19,สมมติฐาน!$C$18,IF(A14&gt;=สมมติฐาน!$C$17,สมมติฐาน!$C$16,0))*12*E14,0)</f>
        <v>0</v>
      </c>
      <c r="I14" s="25" t="n">
        <f aca="false">G14*สมมติฐาน!$C$21</f>
        <v>14082.480353927</v>
      </c>
      <c r="J14" s="25" t="n">
        <f aca="false">IF(AND(D14="รับราชการ",A14&lt;=สมมติฐาน!$C$23),สมมติฐาน!$C$22*12*E14,0)</f>
        <v>52995.8785536</v>
      </c>
      <c r="K14" s="25" t="n">
        <f aca="false">IF(AND(D14="รับราชการ",A14&gt;=สมมติฐาน!$C$27,A14&lt;สมมติฐาน!$C$27+สมมติฐาน!$C$28),สมมติฐาน!$C$25*สมมติฐาน!$C$26*E14,0)</f>
        <v>0</v>
      </c>
      <c r="L14" s="25" t="n">
        <f aca="false">G14*สมมติฐาน!$C$20</f>
        <v>8449.48821235622</v>
      </c>
      <c r="M14" s="22" t="n">
        <f aca="false">IF(D14="รับราชการ",สมมติฐาน!$C$30+IF(AND(A14&gt;=สมมติฐาน!$C$32,A14&lt;=สมมติฐาน!$C$33),สมมติฐาน!$C$31,0),0)</f>
        <v>2</v>
      </c>
      <c r="N14" s="22" t="n">
        <f aca="false">IF(AND(A14&gt;=สมมติฐาน!$C$35,A14&lt;=สมมติฐาน!$C$36),สมมติฐาน!$C$34,0)+IF(D14="รับราชการ",0,สมมติฐาน!$C$37)</f>
        <v>2</v>
      </c>
      <c r="O14" s="24" t="n">
        <f aca="false">(1+สมมติฐาน!$B$43)^(A14-1)*(1+สมมติฐาน!$B$44)^(A14-1)</f>
        <v>1.21899441999476</v>
      </c>
      <c r="P14" s="25" t="n">
        <f aca="false">(M14*สมมติฐาน!$C$38+N14*สมมติฐาน!$C$39)*O14</f>
        <v>80453.631719654</v>
      </c>
      <c r="Q14" s="25" t="n">
        <f aca="false">IF(D14="รับราชการ",0,$AB$6*12*(1+สมมติฐาน!$B$46)^(A14-35-1))</f>
        <v>0</v>
      </c>
      <c r="R14" s="25" t="n">
        <f aca="false">IF(C14=สมมติฐาน!$C$8,$AB$7,0)+IF(C14=65,$AB$9,0)+IF(A14=58,$AB$10+$AB$11,0)</f>
        <v>0</v>
      </c>
      <c r="S14" s="25" t="n">
        <f aca="false">G14+H14+I14+J14+K14+L14+P14+Q14+R14</f>
        <v>437631.085918078</v>
      </c>
      <c r="T14" s="25" t="n">
        <f aca="false">S14/E14</f>
        <v>396375.957855326</v>
      </c>
      <c r="U14" s="24" t="n">
        <f aca="false">1/(1+สมมติฐาน!$B$45)^(A14-1)</f>
        <v>0.821927106759352</v>
      </c>
      <c r="V14" s="25" t="n">
        <f aca="false">S14*U14</f>
        <v>359700.852276599</v>
      </c>
    </row>
    <row r="15" customFormat="false" ht="15" hidden="false" customHeight="true" outlineLevel="0" collapsed="false">
      <c r="A15" s="19" t="n">
        <v>7</v>
      </c>
      <c r="B15" s="19" t="n">
        <f aca="false">สมมติฐาน!$B$42+A15-1</f>
        <v>2575</v>
      </c>
      <c r="C15" s="19" t="n">
        <f aca="false">สมมติฐาน!$C$7+A15-1</f>
        <v>31</v>
      </c>
      <c r="D15" s="20" t="str">
        <f aca="false">IF(C15&lt;สมมติฐาน!$C$8,"รับราชการ","รับบำนาญ")</f>
        <v>รับราชการ</v>
      </c>
      <c r="E15" s="21" t="n">
        <f aca="false">(1+สมมติฐาน!$B$43)^(A15-1)</f>
        <v>1.126162419264</v>
      </c>
      <c r="F15" s="14" t="n">
        <f aca="false">IF(D15="รับราชการ",สมมติฐาน!$C$13*(1+สมมติฐาน!$C$15)^(A15-1)*E15,0)</f>
        <v>24690.1546303661</v>
      </c>
      <c r="G15" s="14" t="n">
        <f aca="false">F15*12</f>
        <v>296281.855564394</v>
      </c>
      <c r="H15" s="14" t="n">
        <f aca="false">IF(D15="รับราชการ",IF(A15&gt;=สมมติฐาน!$C$19,สมมติฐาน!$C$18,IF(A15&gt;=สมมติฐาน!$C$17,สมมติฐาน!$C$16,0))*12*E15,0)</f>
        <v>0</v>
      </c>
      <c r="I15" s="14" t="n">
        <f aca="false">G15*สมมติฐาน!$C$21</f>
        <v>14814.0927782197</v>
      </c>
      <c r="J15" s="14" t="n">
        <f aca="false">IF(AND(D15="รับราชการ",A15&lt;=สมมติฐาน!$C$23),สมมติฐาน!$C$22*12*E15,0)</f>
        <v>54055.796124672</v>
      </c>
      <c r="K15" s="14" t="n">
        <f aca="false">IF(AND(D15="รับราชการ",A15&gt;=สมมติฐาน!$C$27,A15&lt;สมมติฐาน!$C$27+สมมติฐาน!$C$28),สมมติฐาน!$C$25*สมมติฐาน!$C$26*E15,0)</f>
        <v>0</v>
      </c>
      <c r="L15" s="14" t="n">
        <f aca="false">G15*สมมติฐาน!$C$20</f>
        <v>8888.45566693181</v>
      </c>
      <c r="M15" s="19" t="n">
        <f aca="false">IF(D15="รับราชการ",สมมติฐาน!$C$30+IF(AND(A15&gt;=สมมติฐาน!$C$32,A15&lt;=สมมติฐาน!$C$33),สมมติฐาน!$C$31,0),0)</f>
        <v>2</v>
      </c>
      <c r="N15" s="19" t="n">
        <f aca="false">IF(AND(A15&gt;=สมมติฐาน!$C$35,A15&lt;=สมมติฐาน!$C$36),สมมติฐาน!$C$34,0)+IF(D15="รับราชการ",0,สมมติฐาน!$C$37)</f>
        <v>2</v>
      </c>
      <c r="O15" s="21" t="n">
        <f aca="false">(1+สมมติฐาน!$B$43)^(A15-1)*(1+สมมติฐาน!$B$44)^(A15-1)</f>
        <v>1.26824179456255</v>
      </c>
      <c r="P15" s="14" t="n">
        <f aca="false">(M15*สมมติฐาน!$C$38+N15*สมมติฐาน!$C$39)*O15</f>
        <v>83703.958441128</v>
      </c>
      <c r="Q15" s="14" t="n">
        <f aca="false">IF(D15="รับราชการ",0,$AB$6*12*(1+สมมติฐาน!$B$46)^(A15-35-1))</f>
        <v>0</v>
      </c>
      <c r="R15" s="14" t="n">
        <f aca="false">IF(C15=สมมติฐาน!$C$8,$AB$7,0)+IF(C15=65,$AB$9,0)+IF(A15=58,$AB$10+$AB$11,0)</f>
        <v>0</v>
      </c>
      <c r="S15" s="14" t="n">
        <f aca="false">G15+H15+I15+J15+K15+L15+P15+Q15+R15</f>
        <v>457744.158575345</v>
      </c>
      <c r="T15" s="14" t="n">
        <f aca="false">S15/E15</f>
        <v>406463.713177805</v>
      </c>
      <c r="U15" s="21" t="n">
        <f aca="false">1/(1+สมมติฐาน!$B$45)^(A15-1)</f>
        <v>0.790314525730146</v>
      </c>
      <c r="V15" s="14" t="n">
        <f aca="false">S15*U15</f>
        <v>361761.857590219</v>
      </c>
    </row>
    <row r="16" customFormat="false" ht="15" hidden="false" customHeight="true" outlineLevel="0" collapsed="false">
      <c r="A16" s="22" t="n">
        <v>8</v>
      </c>
      <c r="B16" s="22" t="n">
        <f aca="false">สมมติฐาน!$B$42+A16-1</f>
        <v>2576</v>
      </c>
      <c r="C16" s="22" t="n">
        <f aca="false">สมมติฐาน!$C$7+A16-1</f>
        <v>32</v>
      </c>
      <c r="D16" s="23" t="str">
        <f aca="false">IF(C16&lt;สมมติฐาน!$C$8,"รับราชการ","รับบำนาญ")</f>
        <v>รับราชการ</v>
      </c>
      <c r="E16" s="24" t="n">
        <f aca="false">(1+สมมติฐาน!$B$43)^(A16-1)</f>
        <v>1.14868566764928</v>
      </c>
      <c r="F16" s="25" t="n">
        <f aca="false">IF(D16="รับราชการ",สมมติฐาน!$C$13*(1+สมมติฐาน!$C$15)^(A16-1)*E16,0)</f>
        <v>25972.8565004416</v>
      </c>
      <c r="G16" s="25" t="n">
        <f aca="false">F16*12</f>
        <v>311674.278005299</v>
      </c>
      <c r="H16" s="25" t="n">
        <f aca="false">IF(D16="รับราชการ",IF(A16&gt;=สมมติฐาน!$C$19,สมมติฐาน!$C$18,IF(A16&gt;=สมมติฐาน!$C$17,สมมติฐาน!$C$16,0))*12*E16,0)</f>
        <v>48244.7980412698</v>
      </c>
      <c r="I16" s="25" t="n">
        <f aca="false">G16*สมมติฐาน!$C$21</f>
        <v>15583.7139002649</v>
      </c>
      <c r="J16" s="25" t="n">
        <f aca="false">IF(AND(D16="รับราชการ",A16&lt;=สมมติฐาน!$C$23),สมมติฐาน!$C$22*12*E16,0)</f>
        <v>55136.9120471654</v>
      </c>
      <c r="K16" s="25" t="n">
        <f aca="false">IF(AND(D16="รับราชการ",A16&gt;=สมมติฐาน!$C$27,A16&lt;สมมติฐาน!$C$27+สมมติฐาน!$C$28),สมมติฐาน!$C$25*สมมติฐาน!$C$26*E16,0)</f>
        <v>57434.283382464</v>
      </c>
      <c r="L16" s="25" t="n">
        <f aca="false">G16*สมมติฐาน!$C$20</f>
        <v>9350.22834015897</v>
      </c>
      <c r="M16" s="22" t="n">
        <f aca="false">IF(D16="รับราชการ",สมมติฐาน!$C$30+IF(AND(A16&gt;=สมมติฐาน!$C$32,A16&lt;=สมมติฐาน!$C$33),สมมติฐาน!$C$31,0),0)</f>
        <v>4</v>
      </c>
      <c r="N16" s="22" t="n">
        <f aca="false">IF(AND(A16&gt;=สมมติฐาน!$C$35,A16&lt;=สมมติฐาน!$C$36),สมมติฐาน!$C$34,0)+IF(D16="รับราชการ",0,สมมติฐาน!$C$37)</f>
        <v>2</v>
      </c>
      <c r="O16" s="24" t="n">
        <f aca="false">(1+สมมติฐาน!$B$43)^(A16-1)*(1+สมมติฐาน!$B$44)^(A16-1)</f>
        <v>1.31947876306287</v>
      </c>
      <c r="P16" s="25" t="n">
        <f aca="false">(M16*สมมติฐาน!$C$38+N16*สมมติฐาน!$C$39)*O16</f>
        <v>108197.258571156</v>
      </c>
      <c r="Q16" s="25" t="n">
        <f aca="false">IF(D16="รับราชการ",0,$AB$6*12*(1+สมมติฐาน!$B$46)^(A16-35-1))</f>
        <v>0</v>
      </c>
      <c r="R16" s="25" t="n">
        <f aca="false">IF(C16=สมมติฐาน!$C$8,$AB$7,0)+IF(C16=65,$AB$9,0)+IF(A16=58,$AB$10+$AB$11,0)</f>
        <v>0</v>
      </c>
      <c r="S16" s="25" t="n">
        <f aca="false">G16+H16+I16+J16+K16+L16+P16+Q16+R16</f>
        <v>605621.472287778</v>
      </c>
      <c r="T16" s="25" t="n">
        <f aca="false">S16/E16</f>
        <v>527229.937087269</v>
      </c>
      <c r="U16" s="24" t="n">
        <f aca="false">1/(1+สมมติฐาน!$B$45)^(A16-1)</f>
        <v>0.759917813202063</v>
      </c>
      <c r="V16" s="25" t="n">
        <f aca="false">S16*U16</f>
        <v>460222.544849142</v>
      </c>
    </row>
    <row r="17" customFormat="false" ht="15" hidden="false" customHeight="true" outlineLevel="0" collapsed="false">
      <c r="A17" s="19" t="n">
        <v>9</v>
      </c>
      <c r="B17" s="19" t="n">
        <f aca="false">สมมติฐาน!$B$42+A17-1</f>
        <v>2577</v>
      </c>
      <c r="C17" s="19" t="n">
        <f aca="false">สมมติฐาน!$C$7+A17-1</f>
        <v>33</v>
      </c>
      <c r="D17" s="20" t="str">
        <f aca="false">IF(C17&lt;สมมติฐาน!$C$8,"รับราชการ","รับบำนาญ")</f>
        <v>รับราชการ</v>
      </c>
      <c r="E17" s="21" t="n">
        <f aca="false">(1+สมมติฐาน!$B$43)^(A17-1)</f>
        <v>1.17165938100227</v>
      </c>
      <c r="F17" s="14" t="n">
        <f aca="false">IF(D17="รับราชการ",สมมติฐาน!$C$13*(1+สมมติฐาน!$C$15)^(A17-1)*E17,0)</f>
        <v>27322.1972438707</v>
      </c>
      <c r="G17" s="14" t="n">
        <f aca="false">F17*12</f>
        <v>327866.366926448</v>
      </c>
      <c r="H17" s="14" t="n">
        <f aca="false">IF(D17="รับราชการ",IF(A17&gt;=สมมติฐาน!$C$19,สมมติฐาน!$C$18,IF(A17&gt;=สมมติฐาน!$C$17,สมมติฐาน!$C$16,0))*12*E17,0)</f>
        <v>49209.6940020952</v>
      </c>
      <c r="I17" s="14" t="n">
        <f aca="false">G17*สมมติฐาน!$C$21</f>
        <v>16393.3183463224</v>
      </c>
      <c r="J17" s="14" t="n">
        <f aca="false">IF(AND(D17="รับราชการ",A17&lt;=สมมติฐาน!$C$23),สมมติฐาน!$C$22*12*E17,0)</f>
        <v>56239.6502881088</v>
      </c>
      <c r="K17" s="14" t="n">
        <f aca="false">IF(AND(D17="รับราชการ",A17&gt;=สมมติฐาน!$C$27,A17&lt;สมมติฐาน!$C$27+สมมติฐาน!$C$28),สมมติฐาน!$C$25*สมมติฐาน!$C$26*E17,0)</f>
        <v>58582.9690501133</v>
      </c>
      <c r="L17" s="14" t="n">
        <f aca="false">G17*สมมติฐาน!$C$20</f>
        <v>9835.99100779344</v>
      </c>
      <c r="M17" s="19" t="n">
        <f aca="false">IF(D17="รับราชการ",สมมติฐาน!$C$30+IF(AND(A17&gt;=สมมติฐาน!$C$32,A17&lt;=สมมติฐาน!$C$33),สมมติฐาน!$C$31,0),0)</f>
        <v>4</v>
      </c>
      <c r="N17" s="19" t="n">
        <f aca="false">IF(AND(A17&gt;=สมมติฐาน!$C$35,A17&lt;=สมมติฐาน!$C$36),สมมติฐาน!$C$34,0)+IF(D17="รับราชการ",0,สมมติฐาน!$C$37)</f>
        <v>2</v>
      </c>
      <c r="O17" s="21" t="n">
        <f aca="false">(1+สมมติฐาน!$B$43)^(A17-1)*(1+สมมติฐาน!$B$44)^(A17-1)</f>
        <v>1.37278570509061</v>
      </c>
      <c r="P17" s="14" t="n">
        <f aca="false">(M17*สมมติฐาน!$C$38+N17*สมมติฐาน!$C$39)*O17</f>
        <v>112568.42781743</v>
      </c>
      <c r="Q17" s="14" t="n">
        <f aca="false">IF(D17="รับราชการ",0,$AB$6*12*(1+สมมติฐาน!$B$46)^(A17-35-1))</f>
        <v>0</v>
      </c>
      <c r="R17" s="14" t="n">
        <f aca="false">IF(C17=สมมติฐาน!$C$8,$AB$7,0)+IF(C17=65,$AB$9,0)+IF(A17=58,$AB$10+$AB$11,0)</f>
        <v>0</v>
      </c>
      <c r="S17" s="14" t="n">
        <f aca="false">G17+H17+I17+J17+K17+L17+P17+Q17+R17</f>
        <v>630696.417438311</v>
      </c>
      <c r="T17" s="14" t="n">
        <f aca="false">S17/E17</f>
        <v>538293.319427698</v>
      </c>
      <c r="U17" s="21" t="n">
        <f aca="false">1/(1+สมมติฐาน!$B$45)^(A17-1)</f>
        <v>0.730690205001984</v>
      </c>
      <c r="V17" s="14" t="n">
        <f aca="false">S17*U17</f>
        <v>460843.694552016</v>
      </c>
    </row>
    <row r="18" customFormat="false" ht="15" hidden="false" customHeight="true" outlineLevel="0" collapsed="false">
      <c r="A18" s="22" t="n">
        <v>10</v>
      </c>
      <c r="B18" s="22" t="n">
        <f aca="false">สมมติฐาน!$B$42+A18-1</f>
        <v>2578</v>
      </c>
      <c r="C18" s="22" t="n">
        <f aca="false">สมมติฐาน!$C$7+A18-1</f>
        <v>34</v>
      </c>
      <c r="D18" s="23" t="str">
        <f aca="false">IF(C18&lt;สมมติฐาน!$C$8,"รับราชการ","รับบำนาญ")</f>
        <v>รับราชการ</v>
      </c>
      <c r="E18" s="24" t="n">
        <f aca="false">(1+สมมติฐาน!$B$43)^(A18-1)</f>
        <v>1.19509256862231</v>
      </c>
      <c r="F18" s="25" t="n">
        <f aca="false">IF(D18="รับราชการ",สมมติฐาน!$C$13*(1+สมมติฐาน!$C$15)^(A18-1)*E18,0)</f>
        <v>28741.638880586</v>
      </c>
      <c r="G18" s="25" t="n">
        <f aca="false">F18*12</f>
        <v>344899.666567032</v>
      </c>
      <c r="H18" s="25" t="n">
        <f aca="false">IF(D18="รับราชการ",IF(A18&gt;=สมมติฐาน!$C$19,สมมติฐาน!$C$18,IF(A18&gt;=สมมติฐาน!$C$17,สมมติฐาน!$C$16,0))*12*E18,0)</f>
        <v>50193.8878821371</v>
      </c>
      <c r="I18" s="25" t="n">
        <f aca="false">G18*สมมติฐาน!$C$21</f>
        <v>17244.9833283516</v>
      </c>
      <c r="J18" s="25" t="n">
        <f aca="false">IF(AND(D18="รับราชการ",A18&lt;=สมมติฐาน!$C$23),สมมติฐาน!$C$22*12*E18,0)</f>
        <v>57364.4432938709</v>
      </c>
      <c r="K18" s="25" t="n">
        <f aca="false">IF(AND(D18="รับราชการ",A18&gt;=สมมติฐาน!$C$27,A18&lt;สมมติฐาน!$C$27+สมมติฐาน!$C$28),สมมติฐาน!$C$25*สมมติฐาน!$C$26*E18,0)</f>
        <v>59754.6284311156</v>
      </c>
      <c r="L18" s="25" t="n">
        <f aca="false">G18*สมมติฐาน!$C$20</f>
        <v>10346.989997011</v>
      </c>
      <c r="M18" s="22" t="n">
        <f aca="false">IF(D18="รับราชการ",สมมติฐาน!$C$30+IF(AND(A18&gt;=สมมติฐาน!$C$32,A18&lt;=สมมติฐาน!$C$33),สมมติฐาน!$C$31,0),0)</f>
        <v>4</v>
      </c>
      <c r="N18" s="22" t="n">
        <f aca="false">IF(AND(A18&gt;=สมมติฐาน!$C$35,A18&lt;=สมมติฐาน!$C$36),สมมติฐาน!$C$34,0)+IF(D18="รับราชการ",0,สมมติฐาน!$C$37)</f>
        <v>2</v>
      </c>
      <c r="O18" s="24" t="n">
        <f aca="false">(1+สมมติฐาน!$B$43)^(A18-1)*(1+สมมติฐาน!$B$44)^(A18-1)</f>
        <v>1.42824624757627</v>
      </c>
      <c r="P18" s="25" t="n">
        <f aca="false">(M18*สมมติฐาน!$C$38+N18*สมมติฐาน!$C$39)*O18</f>
        <v>117116.192301254</v>
      </c>
      <c r="Q18" s="25" t="n">
        <f aca="false">IF(D18="รับราชการ",0,$AB$6*12*(1+สมมติฐาน!$B$46)^(A18-35-1))</f>
        <v>0</v>
      </c>
      <c r="R18" s="25" t="n">
        <f aca="false">IF(C18=สมมติฐาน!$C$8,$AB$7,0)+IF(C18=65,$AB$9,0)+IF(A18=58,$AB$10+$AB$11,0)</f>
        <v>0</v>
      </c>
      <c r="S18" s="25" t="n">
        <f aca="false">G18+H18+I18+J18+K18+L18+P18+Q18+R18</f>
        <v>656920.791800773</v>
      </c>
      <c r="T18" s="25" t="n">
        <f aca="false">S18/E18</f>
        <v>549681.931800533</v>
      </c>
      <c r="U18" s="24" t="n">
        <f aca="false">1/(1+สมมติฐาน!$B$45)^(A18-1)</f>
        <v>0.702586735578831</v>
      </c>
      <c r="V18" s="25" t="n">
        <f aca="false">S18*U18</f>
        <v>461543.834645166</v>
      </c>
    </row>
    <row r="19" customFormat="false" ht="15" hidden="false" customHeight="true" outlineLevel="0" collapsed="false">
      <c r="A19" s="19" t="n">
        <v>11</v>
      </c>
      <c r="B19" s="19" t="n">
        <f aca="false">สมมติฐาน!$B$42+A19-1</f>
        <v>2579</v>
      </c>
      <c r="C19" s="19" t="n">
        <f aca="false">สมมติฐาน!$C$7+A19-1</f>
        <v>35</v>
      </c>
      <c r="D19" s="20" t="str">
        <f aca="false">IF(C19&lt;สมมติฐาน!$C$8,"รับราชการ","รับบำนาญ")</f>
        <v>รับราชการ</v>
      </c>
      <c r="E19" s="21" t="n">
        <f aca="false">(1+สมมติฐาน!$B$43)^(A19-1)</f>
        <v>1.21899441999476</v>
      </c>
      <c r="F19" s="14" t="n">
        <f aca="false">IF(D19="รับราชการ",สมมติฐาน!$C$13*(1+สมมติฐาน!$C$15)^(A19-1)*E19,0)</f>
        <v>30234.8232892336</v>
      </c>
      <c r="G19" s="14" t="n">
        <f aca="false">F19*12</f>
        <v>362817.879470803</v>
      </c>
      <c r="H19" s="14" t="n">
        <f aca="false">IF(D19="รับราชการ",IF(A19&gt;=สมมติฐาน!$C$19,สมมติฐาน!$C$18,IF(A19&gt;=สมมติฐาน!$C$17,สมมติฐาน!$C$16,0))*12*E19,0)</f>
        <v>51197.7656397798</v>
      </c>
      <c r="I19" s="14" t="n">
        <f aca="false">G19*สมมติฐาน!$C$21</f>
        <v>18140.8939735402</v>
      </c>
      <c r="J19" s="14" t="n">
        <f aca="false">IF(AND(D19="รับราชการ",A19&lt;=สมมติฐาน!$C$23),สมมติฐาน!$C$22*12*E19,0)</f>
        <v>0</v>
      </c>
      <c r="K19" s="14" t="n">
        <f aca="false">IF(AND(D19="รับราชการ",A19&gt;=สมมติฐาน!$C$27,A19&lt;สมมติฐาน!$C$27+สมมติฐาน!$C$28),สมมติฐาน!$C$25*สมมติฐาน!$C$26*E19,0)</f>
        <v>60949.7209997379</v>
      </c>
      <c r="L19" s="14" t="n">
        <f aca="false">G19*สมมติฐาน!$C$20</f>
        <v>10884.5363841241</v>
      </c>
      <c r="M19" s="19" t="n">
        <f aca="false">IF(D19="รับราชการ",สมมติฐาน!$C$30+IF(AND(A19&gt;=สมมติฐาน!$C$32,A19&lt;=สมมติฐาน!$C$33),สมมติฐาน!$C$31,0),0)</f>
        <v>4</v>
      </c>
      <c r="N19" s="19" t="n">
        <f aca="false">IF(AND(A19&gt;=สมมติฐาน!$C$35,A19&lt;=สมมติฐาน!$C$36),สมมติฐาน!$C$34,0)+IF(D19="รับราชการ",0,สมมติฐาน!$C$37)</f>
        <v>2</v>
      </c>
      <c r="O19" s="21" t="n">
        <f aca="false">(1+สมมติฐาน!$B$43)^(A19-1)*(1+สมมติฐาน!$B$44)^(A19-1)</f>
        <v>1.48594739597836</v>
      </c>
      <c r="P19" s="14" t="n">
        <f aca="false">(M19*สมมติฐาน!$C$38+N19*สมมติฐาน!$C$39)*O19</f>
        <v>121847.686470225</v>
      </c>
      <c r="Q19" s="14" t="n">
        <f aca="false">IF(D19="รับราชการ",0,$AB$6*12*(1+สมมติฐาน!$B$46)^(A19-35-1))</f>
        <v>0</v>
      </c>
      <c r="R19" s="14" t="n">
        <f aca="false">IF(C19=สมมติฐาน!$C$8,$AB$7,0)+IF(C19=65,$AB$9,0)+IF(A19=58,$AB$10+$AB$11,0)</f>
        <v>0</v>
      </c>
      <c r="S19" s="14" t="n">
        <f aca="false">G19+H19+I19+J19+K19+L19+P19+Q19+R19</f>
        <v>625838.48293821</v>
      </c>
      <c r="T19" s="14" t="n">
        <f aca="false">S19/E19</f>
        <v>513405.535474807</v>
      </c>
      <c r="U19" s="21" t="n">
        <f aca="false">1/(1+สมมติฐาน!$B$45)^(A19-1)</f>
        <v>0.675564168825799</v>
      </c>
      <c r="V19" s="14" t="n">
        <f aca="false">S19*U19</f>
        <v>422794.054545351</v>
      </c>
    </row>
    <row r="20" customFormat="false" ht="15" hidden="false" customHeight="true" outlineLevel="0" collapsed="false">
      <c r="A20" s="22" t="n">
        <v>12</v>
      </c>
      <c r="B20" s="22" t="n">
        <f aca="false">สมมติฐาน!$B$42+A20-1</f>
        <v>2580</v>
      </c>
      <c r="C20" s="22" t="n">
        <f aca="false">สมมติฐาน!$C$7+A20-1</f>
        <v>36</v>
      </c>
      <c r="D20" s="23" t="str">
        <f aca="false">IF(C20&lt;สมมติฐาน!$C$8,"รับราชการ","รับบำนาญ")</f>
        <v>รับราชการ</v>
      </c>
      <c r="E20" s="24" t="n">
        <f aca="false">(1+สมมติฐาน!$B$43)^(A20-1)</f>
        <v>1.24337430839465</v>
      </c>
      <c r="F20" s="25" t="n">
        <f aca="false">IF(D20="รับราชการ",สมมติฐาน!$C$13*(1+สมมติฐาน!$C$15)^(A20-1)*E20,0)</f>
        <v>31805.5815511848</v>
      </c>
      <c r="G20" s="25" t="n">
        <f aca="false">F20*12</f>
        <v>381666.978614217</v>
      </c>
      <c r="H20" s="25" t="n">
        <f aca="false">IF(D20="รับราชการ",IF(A20&gt;=สมมติฐาน!$C$19,สมมติฐาน!$C$18,IF(A20&gt;=สมมติฐาน!$C$17,สมมติฐาน!$C$16,0))*12*E20,0)</f>
        <v>52221.7209525754</v>
      </c>
      <c r="I20" s="25" t="n">
        <f aca="false">G20*สมมติฐาน!$C$21</f>
        <v>19083.3489307109</v>
      </c>
      <c r="J20" s="25" t="n">
        <f aca="false">IF(AND(D20="รับราชการ",A20&lt;=สมมติฐาน!$C$23),สมมติฐาน!$C$22*12*E20,0)</f>
        <v>0</v>
      </c>
      <c r="K20" s="25" t="n">
        <f aca="false">IF(AND(D20="รับราชการ",A20&gt;=สมมติฐาน!$C$27,A20&lt;สมมติฐาน!$C$27+สมมติฐาน!$C$28),สมมติฐาน!$C$25*สมมติฐาน!$C$26*E20,0)</f>
        <v>62168.7154197326</v>
      </c>
      <c r="L20" s="25" t="n">
        <f aca="false">G20*สมมติฐาน!$C$20</f>
        <v>11450.0093584265</v>
      </c>
      <c r="M20" s="22" t="n">
        <f aca="false">IF(D20="รับราชการ",สมมติฐาน!$C$30+IF(AND(A20&gt;=สมมติฐาน!$C$32,A20&lt;=สมมติฐาน!$C$33),สมมติฐาน!$C$31,0),0)</f>
        <v>4</v>
      </c>
      <c r="N20" s="22" t="n">
        <f aca="false">IF(AND(A20&gt;=สมมติฐาน!$C$35,A20&lt;=สมมติฐาน!$C$36),สมมติฐาน!$C$34,0)+IF(D20="รับราชการ",0,สมมติฐาน!$C$37)</f>
        <v>2</v>
      </c>
      <c r="O20" s="24" t="n">
        <f aca="false">(1+สมมติฐาน!$B$43)^(A20-1)*(1+สมมติฐาน!$B$44)^(A20-1)</f>
        <v>1.54597967077588</v>
      </c>
      <c r="P20" s="25" t="n">
        <f aca="false">(M20*สมมติฐาน!$C$38+N20*สมมติฐาน!$C$39)*O20</f>
        <v>126770.333003622</v>
      </c>
      <c r="Q20" s="25" t="n">
        <f aca="false">IF(D20="รับราชการ",0,$AB$6*12*(1+สมมติฐาน!$B$46)^(A20-35-1))</f>
        <v>0</v>
      </c>
      <c r="R20" s="25" t="n">
        <f aca="false">IF(C20=สมมติฐาน!$C$8,$AB$7,0)+IF(C20=65,$AB$9,0)+IF(A20=58,$AB$10+$AB$11,0)</f>
        <v>0</v>
      </c>
      <c r="S20" s="25" t="n">
        <f aca="false">G20+H20+I20+J20+K20+L20+P20+Q20+R20</f>
        <v>653361.106279285</v>
      </c>
      <c r="T20" s="25" t="n">
        <f aca="false">S20/E20</f>
        <v>525474.188961531</v>
      </c>
      <c r="U20" s="24" t="n">
        <f aca="false">1/(1+สมมติฐาน!$B$45)^(A20-1)</f>
        <v>0.649580931563268</v>
      </c>
      <c r="V20" s="25" t="n">
        <f aca="false">S20*U20</f>
        <v>424410.916064105</v>
      </c>
    </row>
    <row r="21" customFormat="false" ht="15" hidden="false" customHeight="true" outlineLevel="0" collapsed="false">
      <c r="A21" s="19" t="n">
        <v>13</v>
      </c>
      <c r="B21" s="19" t="n">
        <f aca="false">สมมติฐาน!$B$42+A21-1</f>
        <v>2581</v>
      </c>
      <c r="C21" s="19" t="n">
        <f aca="false">สมมติฐาน!$C$7+A21-1</f>
        <v>37</v>
      </c>
      <c r="D21" s="20" t="str">
        <f aca="false">IF(C21&lt;สมมติฐาน!$C$8,"รับราชการ","รับบำนาญ")</f>
        <v>รับราชการ</v>
      </c>
      <c r="E21" s="21" t="n">
        <f aca="false">(1+สมมติฐาน!$B$43)^(A21-1)</f>
        <v>1.26824179456255</v>
      </c>
      <c r="F21" s="14" t="n">
        <f aca="false">IF(D21="รับราชการ",สมมติฐาน!$C$13*(1+สมมติฐาน!$C$15)^(A21-1)*E21,0)</f>
        <v>33457.9437799885</v>
      </c>
      <c r="G21" s="14" t="n">
        <f aca="false">F21*12</f>
        <v>401495.325359862</v>
      </c>
      <c r="H21" s="14" t="n">
        <f aca="false">IF(D21="รับราชการ",IF(A21&gt;=สมมติฐาน!$C$19,สมมติฐาน!$C$18,IF(A21&gt;=สมมติฐาน!$C$17,สมมติฐาน!$C$16,0))*12*E21,0)</f>
        <v>53266.1553716269</v>
      </c>
      <c r="I21" s="14" t="n">
        <f aca="false">G21*สมมติฐาน!$C$21</f>
        <v>20074.7662679931</v>
      </c>
      <c r="J21" s="14" t="n">
        <f aca="false">IF(AND(D21="รับราชการ",A21&lt;=สมมติฐาน!$C$23),สมมติฐาน!$C$22*12*E21,0)</f>
        <v>0</v>
      </c>
      <c r="K21" s="14" t="n">
        <f aca="false">IF(AND(D21="รับราชการ",A21&gt;=สมมติฐาน!$C$27,A21&lt;สมมติฐาน!$C$27+สมมติฐาน!$C$28),สมมติฐาน!$C$25*สมมติฐาน!$C$26*E21,0)</f>
        <v>63412.0897281273</v>
      </c>
      <c r="L21" s="14" t="n">
        <f aca="false">G21*สมมติฐาน!$C$20</f>
        <v>12044.8597607959</v>
      </c>
      <c r="M21" s="19" t="n">
        <f aca="false">IF(D21="รับราชการ",สมมติฐาน!$C$30+IF(AND(A21&gt;=สมมติฐาน!$C$32,A21&lt;=สมมติฐาน!$C$33),สมมติฐาน!$C$31,0),0)</f>
        <v>4</v>
      </c>
      <c r="N21" s="19" t="n">
        <f aca="false">IF(AND(A21&gt;=สมมติฐาน!$C$35,A21&lt;=สมมติฐาน!$C$36),สมมติฐาน!$C$34,0)+IF(D21="รับราชการ",0,สมมติฐาน!$C$37)</f>
        <v>2</v>
      </c>
      <c r="O21" s="21" t="n">
        <f aca="false">(1+สมมติฐาน!$B$43)^(A21-1)*(1+สมมติฐาน!$B$44)^(A21-1)</f>
        <v>1.60843724947523</v>
      </c>
      <c r="P21" s="14" t="n">
        <f aca="false">(M21*สมมติฐาน!$C$38+N21*สมมติฐาน!$C$39)*O21</f>
        <v>131891.854456969</v>
      </c>
      <c r="Q21" s="14" t="n">
        <f aca="false">IF(D21="รับราชการ",0,$AB$6*12*(1+สมมติฐาน!$B$46)^(A21-35-1))</f>
        <v>0</v>
      </c>
      <c r="R21" s="14" t="n">
        <f aca="false">IF(C21=สมมติฐาน!$C$8,$AB$7,0)+IF(C21=65,$AB$9,0)+IF(A21=58,$AB$10+$AB$11,0)</f>
        <v>0</v>
      </c>
      <c r="S21" s="14" t="n">
        <f aca="false">G21+H21+I21+J21+K21+L21+P21+Q21+R21</f>
        <v>682185.050945374</v>
      </c>
      <c r="T21" s="14" t="n">
        <f aca="false">S21/E21</f>
        <v>537898.257154252</v>
      </c>
      <c r="U21" s="21" t="n">
        <f aca="false">1/(1+สมมติฐาน!$B$45)^(A21-1)</f>
        <v>0.624597049580065</v>
      </c>
      <c r="V21" s="14" t="n">
        <f aca="false">S21*U21</f>
        <v>426090.770088107</v>
      </c>
    </row>
    <row r="22" customFormat="false" ht="15" hidden="false" customHeight="true" outlineLevel="0" collapsed="false">
      <c r="A22" s="22" t="n">
        <v>14</v>
      </c>
      <c r="B22" s="22" t="n">
        <f aca="false">สมมติฐาน!$B$42+A22-1</f>
        <v>2582</v>
      </c>
      <c r="C22" s="22" t="n">
        <f aca="false">สมมติฐาน!$C$7+A22-1</f>
        <v>38</v>
      </c>
      <c r="D22" s="23" t="str">
        <f aca="false">IF(C22&lt;สมมติฐาน!$C$8,"รับราชการ","รับบำนาญ")</f>
        <v>รับราชการ</v>
      </c>
      <c r="E22" s="24" t="n">
        <f aca="false">(1+สมมติฐาน!$B$43)^(A22-1)</f>
        <v>1.2936066304538</v>
      </c>
      <c r="F22" s="25" t="n">
        <f aca="false">IF(D22="รับราชการ",สมมติฐาน!$C$13*(1+สมมติฐาน!$C$15)^(A22-1)*E22,0)</f>
        <v>35196.1494614826</v>
      </c>
      <c r="G22" s="25" t="n">
        <f aca="false">F22*12</f>
        <v>422353.793537791</v>
      </c>
      <c r="H22" s="25" t="n">
        <f aca="false">IF(D22="รับราชการ",IF(A22&gt;=สมมติฐาน!$C$19,สมมติฐาน!$C$18,IF(A22&gt;=สมมติฐาน!$C$17,สมมติฐาน!$C$16,0))*12*E22,0)</f>
        <v>54331.4784790595</v>
      </c>
      <c r="I22" s="25" t="n">
        <f aca="false">G22*สมมติฐาน!$C$21</f>
        <v>21117.6896768896</v>
      </c>
      <c r="J22" s="25" t="n">
        <f aca="false">IF(AND(D22="รับราชการ",A22&lt;=สมมติฐาน!$C$23),สมมติฐาน!$C$22*12*E22,0)</f>
        <v>0</v>
      </c>
      <c r="K22" s="25" t="n">
        <f aca="false">IF(AND(D22="รับราชการ",A22&gt;=สมมติฐาน!$C$27,A22&lt;สมมติฐาน!$C$27+สมมติฐาน!$C$28),สมมติฐาน!$C$25*สมมติฐาน!$C$26*E22,0)</f>
        <v>64680.3315226898</v>
      </c>
      <c r="L22" s="25" t="n">
        <f aca="false">G22*สมมติฐาน!$C$20</f>
        <v>12670.6138061337</v>
      </c>
      <c r="M22" s="22" t="n">
        <f aca="false">IF(D22="รับราชการ",สมมติฐาน!$C$30+IF(AND(A22&gt;=สมมติฐาน!$C$32,A22&lt;=สมมติฐาน!$C$33),สมมติฐาน!$C$31,0),0)</f>
        <v>4</v>
      </c>
      <c r="N22" s="22" t="n">
        <f aca="false">IF(AND(A22&gt;=สมมติฐาน!$C$35,A22&lt;=สมมติฐาน!$C$36),สมมติฐาน!$C$34,0)+IF(D22="รับราชการ",0,สมมติฐาน!$C$37)</f>
        <v>2</v>
      </c>
      <c r="O22" s="24" t="n">
        <f aca="false">(1+สมมติฐาน!$B$43)^(A22-1)*(1+สมมติฐาน!$B$44)^(A22-1)</f>
        <v>1.67341811435403</v>
      </c>
      <c r="P22" s="25" t="n">
        <f aca="false">(M22*สมมติฐาน!$C$38+N22*สมมติฐาน!$C$39)*O22</f>
        <v>137220.28537703</v>
      </c>
      <c r="Q22" s="25" t="n">
        <f aca="false">IF(D22="รับราชการ",0,$AB$6*12*(1+สมมติฐาน!$B$46)^(A22-35-1))</f>
        <v>0</v>
      </c>
      <c r="R22" s="25" t="n">
        <f aca="false">IF(C22=สมมติฐาน!$C$8,$AB$7,0)+IF(C22=65,$AB$9,0)+IF(A22=58,$AB$10+$AB$11,0)</f>
        <v>0</v>
      </c>
      <c r="S22" s="25" t="n">
        <f aca="false">G22+H22+I22+J22+K22+L22+P22+Q22+R22</f>
        <v>712374.192399594</v>
      </c>
      <c r="T22" s="25" t="n">
        <f aca="false">S22/E22</f>
        <v>550688.420752523</v>
      </c>
      <c r="U22" s="24" t="n">
        <f aca="false">1/(1+สมมติฐาน!$B$45)^(A22-1)</f>
        <v>0.600574086134678</v>
      </c>
      <c r="V22" s="25" t="n">
        <f aca="false">S22*U22</f>
        <v>427833.479586315</v>
      </c>
    </row>
    <row r="23" customFormat="false" ht="15" hidden="false" customHeight="true" outlineLevel="0" collapsed="false">
      <c r="A23" s="19" t="n">
        <v>15</v>
      </c>
      <c r="B23" s="19" t="n">
        <f aca="false">สมมติฐาน!$B$42+A23-1</f>
        <v>2583</v>
      </c>
      <c r="C23" s="19" t="n">
        <f aca="false">สมมติฐาน!$C$7+A23-1</f>
        <v>39</v>
      </c>
      <c r="D23" s="20" t="str">
        <f aca="false">IF(C23&lt;สมมติฐาน!$C$8,"รับราชการ","รับบำนาญ")</f>
        <v>รับราชการ</v>
      </c>
      <c r="E23" s="21" t="n">
        <f aca="false">(1+สมมติฐาน!$B$43)^(A23-1)</f>
        <v>1.31947876306287</v>
      </c>
      <c r="F23" s="14" t="n">
        <f aca="false">IF(D23="รับราชการ",สมมติฐาน!$C$13*(1+สมมติฐาน!$C$15)^(A23-1)*E23,0)</f>
        <v>37024.6583310939</v>
      </c>
      <c r="G23" s="14" t="n">
        <f aca="false">F23*12</f>
        <v>444295.899973126</v>
      </c>
      <c r="H23" s="14" t="n">
        <f aca="false">IF(D23="รับราชการ",IF(A23&gt;=สมมติฐาน!$C$19,สมมติฐาน!$C$18,IF(A23&gt;=สมมติฐาน!$C$17,สมมติฐาน!$C$16,0))*12*E23,0)</f>
        <v>55418.1080486406</v>
      </c>
      <c r="I23" s="14" t="n">
        <f aca="false">G23*สมมติฐาน!$C$21</f>
        <v>22214.7949986563</v>
      </c>
      <c r="J23" s="14" t="n">
        <f aca="false">IF(AND(D23="รับราชการ",A23&lt;=สมมติฐาน!$C$23),สมมติฐาน!$C$22*12*E23,0)</f>
        <v>0</v>
      </c>
      <c r="K23" s="14" t="n">
        <f aca="false">IF(AND(D23="รับราชการ",A23&gt;=สมมติฐาน!$C$27,A23&lt;สมมติฐาน!$C$27+สมมติฐาน!$C$28),สมมติฐาน!$C$25*สมมติฐาน!$C$26*E23,0)</f>
        <v>65973.9381531436</v>
      </c>
      <c r="L23" s="14" t="n">
        <f aca="false">G23*สมมติฐาน!$C$20</f>
        <v>13328.8769991938</v>
      </c>
      <c r="M23" s="19" t="n">
        <f aca="false">IF(D23="รับราชการ",สมมติฐาน!$C$30+IF(AND(A23&gt;=สมมติฐาน!$C$32,A23&lt;=สมมติฐาน!$C$33),สมมติฐาน!$C$31,0),0)</f>
        <v>4</v>
      </c>
      <c r="N23" s="19" t="n">
        <f aca="false">IF(AND(A23&gt;=สมมติฐาน!$C$35,A23&lt;=สมมติฐาน!$C$36),สมมติฐาน!$C$34,0)+IF(D23="รับราชการ",0,สมมติฐาน!$C$37)</f>
        <v>2</v>
      </c>
      <c r="O23" s="21" t="n">
        <f aca="false">(1+สมมติฐาน!$B$43)^(A23-1)*(1+สมมติฐาน!$B$44)^(A23-1)</f>
        <v>1.74102420617393</v>
      </c>
      <c r="P23" s="14" t="n">
        <f aca="false">(M23*สมมติฐาน!$C$38+N23*สมมติฐาน!$C$39)*O23</f>
        <v>142763.984906262</v>
      </c>
      <c r="Q23" s="14" t="n">
        <f aca="false">IF(D23="รับราชการ",0,$AB$6*12*(1+สมมติฐาน!$B$46)^(A23-35-1))</f>
        <v>0</v>
      </c>
      <c r="R23" s="14" t="n">
        <f aca="false">IF(C23=สมมติฐาน!$C$8,$AB$7,0)+IF(C23=65,$AB$9,0)+IF(A23=58,$AB$10+$AB$11,0)</f>
        <v>0</v>
      </c>
      <c r="S23" s="14" t="n">
        <f aca="false">G23+H23+I23+J23+K23+L23+P23+Q23+R23</f>
        <v>743995.603079023</v>
      </c>
      <c r="T23" s="14" t="n">
        <f aca="false">S23/E23</f>
        <v>563855.685977094</v>
      </c>
      <c r="U23" s="21" t="n">
        <f aca="false">1/(1+สมมติฐาน!$B$45)^(A23-1)</f>
        <v>0.577475082821806</v>
      </c>
      <c r="V23" s="14" t="n">
        <f aca="false">S23*U23</f>
        <v>429638.922507118</v>
      </c>
    </row>
    <row r="24" customFormat="false" ht="15" hidden="false" customHeight="true" outlineLevel="0" collapsed="false">
      <c r="A24" s="22" t="n">
        <v>16</v>
      </c>
      <c r="B24" s="22" t="n">
        <f aca="false">สมมติฐาน!$B$42+A24-1</f>
        <v>2584</v>
      </c>
      <c r="C24" s="22" t="n">
        <f aca="false">สมมติฐาน!$C$7+A24-1</f>
        <v>40</v>
      </c>
      <c r="D24" s="23" t="str">
        <f aca="false">IF(C24&lt;สมมติฐาน!$C$8,"รับราชการ","รับบำนาญ")</f>
        <v>รับราชการ</v>
      </c>
      <c r="E24" s="24" t="n">
        <f aca="false">(1+สมมติฐาน!$B$43)^(A24-1)</f>
        <v>1.34586833832413</v>
      </c>
      <c r="F24" s="25" t="n">
        <f aca="false">IF(D24="รับราชการ",สมมติฐาน!$C$13*(1+สมมติฐาน!$C$15)^(A24-1)*E24,0)</f>
        <v>38948.1618162356</v>
      </c>
      <c r="G24" s="25" t="n">
        <f aca="false">F24*12</f>
        <v>467377.941794827</v>
      </c>
      <c r="H24" s="25" t="n">
        <f aca="false">IF(D24="รับราชการ",IF(A24&gt;=สมมติฐาน!$C$19,สมมติฐาน!$C$18,IF(A24&gt;=สมมติฐาน!$C$17,สมมติฐาน!$C$16,0))*12*E24,0)</f>
        <v>56526.4702096135</v>
      </c>
      <c r="I24" s="25" t="n">
        <f aca="false">G24*สมมติฐาน!$C$21</f>
        <v>23368.8970897414</v>
      </c>
      <c r="J24" s="25" t="n">
        <f aca="false">IF(AND(D24="รับราชการ",A24&lt;=สมมติฐาน!$C$23),สมมติฐาน!$C$22*12*E24,0)</f>
        <v>0</v>
      </c>
      <c r="K24" s="25" t="n">
        <f aca="false">IF(AND(D24="รับราชการ",A24&gt;=สมมติฐาน!$C$27,A24&lt;สมมติฐาน!$C$27+สมมติฐาน!$C$28),สมมติฐาน!$C$25*สมมติฐาน!$C$26*E24,0)</f>
        <v>67293.4169162065</v>
      </c>
      <c r="L24" s="25" t="n">
        <f aca="false">G24*สมมติฐาน!$C$20</f>
        <v>14021.3382538448</v>
      </c>
      <c r="M24" s="22" t="n">
        <f aca="false">IF(D24="รับราชการ",สมมติฐาน!$C$30+IF(AND(A24&gt;=สมมติฐาน!$C$32,A24&lt;=สมมติฐาน!$C$33),สมมติฐาน!$C$31,0),0)</f>
        <v>4</v>
      </c>
      <c r="N24" s="22" t="n">
        <f aca="false">IF(AND(A24&gt;=สมมติฐาน!$C$35,A24&lt;=สมมติฐาน!$C$36),สมมติฐาน!$C$34,0)+IF(D24="รับราชการ",0,สมมติฐาน!$C$37)</f>
        <v>2</v>
      </c>
      <c r="O24" s="24" t="n">
        <f aca="false">(1+สมมติฐาน!$B$43)^(A24-1)*(1+สมมติฐาน!$B$44)^(A24-1)</f>
        <v>1.81136158410335</v>
      </c>
      <c r="P24" s="25" t="n">
        <f aca="false">(M24*สมมติฐาน!$C$38+N24*สมมติฐาน!$C$39)*O24</f>
        <v>148531.649896475</v>
      </c>
      <c r="Q24" s="25" t="n">
        <f aca="false">IF(D24="รับราชการ",0,$AB$6*12*(1+สมมติฐาน!$B$46)^(A24-35-1))</f>
        <v>0</v>
      </c>
      <c r="R24" s="25" t="n">
        <f aca="false">IF(C24=สมมติฐาน!$C$8,$AB$7,0)+IF(C24=65,$AB$9,0)+IF(A24=58,$AB$10+$AB$11,0)</f>
        <v>0</v>
      </c>
      <c r="S24" s="25" t="n">
        <f aca="false">G24+H24+I24+J24+K24+L24+P24+Q24+R24</f>
        <v>777119.714160709</v>
      </c>
      <c r="T24" s="25" t="n">
        <f aca="false">S24/E24</f>
        <v>577411.394585874</v>
      </c>
      <c r="U24" s="24" t="n">
        <f aca="false">1/(1+สมมติฐาน!$B$45)^(A24-1)</f>
        <v>0.555264502713275</v>
      </c>
      <c r="V24" s="25" t="n">
        <f aca="false">S24*U24</f>
        <v>431506.991632128</v>
      </c>
    </row>
    <row r="25" customFormat="false" ht="15" hidden="false" customHeight="true" outlineLevel="0" collapsed="false">
      <c r="A25" s="19" t="n">
        <v>17</v>
      </c>
      <c r="B25" s="19" t="n">
        <f aca="false">สมมติฐาน!$B$42+A25-1</f>
        <v>2585</v>
      </c>
      <c r="C25" s="19" t="n">
        <f aca="false">สมมติฐาน!$C$7+A25-1</f>
        <v>41</v>
      </c>
      <c r="D25" s="20" t="str">
        <f aca="false">IF(C25&lt;สมมติฐาน!$C$8,"รับราชการ","รับบำนาญ")</f>
        <v>รับราชการ</v>
      </c>
      <c r="E25" s="21" t="n">
        <f aca="false">(1+สมมติฐาน!$B$43)^(A25-1)</f>
        <v>1.37278570509061</v>
      </c>
      <c r="F25" s="14" t="n">
        <f aca="false">IF(D25="รับราชการ",สมมติฐาน!$C$13*(1+สมมติฐาน!$C$15)^(A25-1)*E25,0)</f>
        <v>40971.5950731599</v>
      </c>
      <c r="G25" s="14" t="n">
        <f aca="false">F25*12</f>
        <v>491659.140877919</v>
      </c>
      <c r="H25" s="14" t="n">
        <f aca="false">IF(D25="รับราชการ",IF(A25&gt;=สมมติฐาน!$C$19,สมมติฐาน!$C$18,IF(A25&gt;=สมมติฐาน!$C$17,สมมติฐาน!$C$16,0))*12*E25,0)</f>
        <v>57656.9996138057</v>
      </c>
      <c r="I25" s="14" t="n">
        <f aca="false">G25*สมมติฐาน!$C$21</f>
        <v>24582.9570438959</v>
      </c>
      <c r="J25" s="14" t="n">
        <f aca="false">IF(AND(D25="รับราชการ",A25&lt;=สมมติฐาน!$C$23),สมมติฐาน!$C$22*12*E25,0)</f>
        <v>0</v>
      </c>
      <c r="K25" s="14" t="n">
        <f aca="false">IF(AND(D25="รับราชการ",A25&gt;=สมมติฐาน!$C$27,A25&lt;สมมติฐาน!$C$27+สมมติฐาน!$C$28),สมมติฐาน!$C$25*สมมติฐาน!$C$26*E25,0)</f>
        <v>68639.2852545306</v>
      </c>
      <c r="L25" s="14" t="n">
        <f aca="false">G25*สมมติฐาน!$C$20</f>
        <v>14749.7742263376</v>
      </c>
      <c r="M25" s="19" t="n">
        <f aca="false">IF(D25="รับราชการ",สมมติฐาน!$C$30+IF(AND(A25&gt;=สมมติฐาน!$C$32,A25&lt;=สมมติฐาน!$C$33),สมมติฐาน!$C$31,0),0)</f>
        <v>4</v>
      </c>
      <c r="N25" s="19" t="n">
        <f aca="false">IF(AND(A25&gt;=สมมติฐาน!$C$35,A25&lt;=สมมติฐาน!$C$36),สมมติฐาน!$C$34,0)+IF(D25="รับราชการ",0,สมมติฐาน!$C$37)</f>
        <v>2</v>
      </c>
      <c r="O25" s="21" t="n">
        <f aca="false">(1+สมมติฐาน!$B$43)^(A25-1)*(1+สมมติฐาน!$B$44)^(A25-1)</f>
        <v>1.88454059210113</v>
      </c>
      <c r="P25" s="14" t="n">
        <f aca="false">(M25*สมมติฐาน!$C$38+N25*สมมติฐาน!$C$39)*O25</f>
        <v>154532.328552293</v>
      </c>
      <c r="Q25" s="14" t="n">
        <f aca="false">IF(D25="รับราชการ",0,$AB$6*12*(1+สมมติฐาน!$B$46)^(A25-35-1))</f>
        <v>0</v>
      </c>
      <c r="R25" s="14" t="n">
        <f aca="false">IF(C25=สมมติฐาน!$C$8,$AB$7,0)+IF(C25=65,$AB$9,0)+IF(A25=58,$AB$10+$AB$11,0)</f>
        <v>0</v>
      </c>
      <c r="S25" s="14" t="n">
        <f aca="false">G25+H25+I25+J25+K25+L25+P25+Q25+R25</f>
        <v>811820.485568781</v>
      </c>
      <c r="T25" s="14" t="n">
        <f aca="false">S25/E25</f>
        <v>591367.234200036</v>
      </c>
      <c r="U25" s="21" t="n">
        <f aca="false">1/(1+สมมติฐาน!$B$45)^(A25-1)</f>
        <v>0.533908175685841</v>
      </c>
      <c r="V25" s="14" t="n">
        <f aca="false">S25*U25</f>
        <v>433437.594434422</v>
      </c>
    </row>
    <row r="26" customFormat="false" ht="15" hidden="false" customHeight="true" outlineLevel="0" collapsed="false">
      <c r="A26" s="22" t="n">
        <v>18</v>
      </c>
      <c r="B26" s="22" t="n">
        <f aca="false">สมมติฐาน!$B$42+A26-1</f>
        <v>2586</v>
      </c>
      <c r="C26" s="22" t="n">
        <f aca="false">สมมติฐาน!$C$7+A26-1</f>
        <v>42</v>
      </c>
      <c r="D26" s="23" t="str">
        <f aca="false">IF(C26&lt;สมมติฐาน!$C$8,"รับราชการ","รับบำนาญ")</f>
        <v>รับราชการ</v>
      </c>
      <c r="E26" s="24" t="n">
        <f aca="false">(1+สมมติฐาน!$B$43)^(A26-1)</f>
        <v>1.40024141919242</v>
      </c>
      <c r="F26" s="25" t="n">
        <f aca="false">IF(D26="รับราชการ",สมมติฐาน!$C$13*(1+สมมติฐาน!$C$15)^(A26-1)*E26,0)</f>
        <v>43100.1496491478</v>
      </c>
      <c r="G26" s="25" t="n">
        <f aca="false">F26*12</f>
        <v>517201.795789774</v>
      </c>
      <c r="H26" s="25" t="n">
        <f aca="false">IF(D26="รับราชการ",IF(A26&gt;=สมมติฐาน!$C$19,สมมติฐาน!$C$18,IF(A26&gt;=สมมติฐาน!$C$17,สมมติฐาน!$C$16,0))*12*E26,0)</f>
        <v>58810.1396060818</v>
      </c>
      <c r="I26" s="25" t="n">
        <f aca="false">G26*สมมติฐาน!$C$21</f>
        <v>25860.0897894887</v>
      </c>
      <c r="J26" s="25" t="n">
        <f aca="false">IF(AND(D26="รับราชการ",A26&lt;=สมมติฐาน!$C$23),สมมติฐาน!$C$22*12*E26,0)</f>
        <v>0</v>
      </c>
      <c r="K26" s="25" t="n">
        <f aca="false">IF(AND(D26="รับราชการ",A26&gt;=สมมติฐาน!$C$27,A26&lt;สมมติฐาน!$C$27+สมมติฐาน!$C$28),สมมติฐาน!$C$25*สมมติฐาน!$C$26*E26,0)</f>
        <v>70012.0709596212</v>
      </c>
      <c r="L26" s="25" t="n">
        <f aca="false">G26*สมมติฐาน!$C$20</f>
        <v>15516.0538736932</v>
      </c>
      <c r="M26" s="22" t="n">
        <f aca="false">IF(D26="รับราชการ",สมมติฐาน!$C$30+IF(AND(A26&gt;=สมมติฐาน!$C$32,A26&lt;=สมมติฐาน!$C$33),สมมติฐาน!$C$31,0),0)</f>
        <v>4</v>
      </c>
      <c r="N26" s="22" t="n">
        <f aca="false">IF(AND(A26&gt;=สมมติฐาน!$C$35,A26&lt;=สมมติฐาน!$C$36),สมมติฐาน!$C$34,0)+IF(D26="รับราชการ",0,สมมติฐาน!$C$37)</f>
        <v>2</v>
      </c>
      <c r="O26" s="24" t="n">
        <f aca="false">(1+สมมติฐาน!$B$43)^(A26-1)*(1+สมมติฐาน!$B$44)^(A26-1)</f>
        <v>1.96067603202202</v>
      </c>
      <c r="P26" s="25" t="n">
        <f aca="false">(M26*สมมติฐาน!$C$38+N26*สมมติฐาน!$C$39)*O26</f>
        <v>160775.434625805</v>
      </c>
      <c r="Q26" s="25" t="n">
        <f aca="false">IF(D26="รับราชการ",0,$AB$6*12*(1+สมมติฐาน!$B$46)^(A26-35-1))</f>
        <v>0</v>
      </c>
      <c r="R26" s="25" t="n">
        <f aca="false">IF(C26=สมมติฐาน!$C$8,$AB$7,0)+IF(C26=65,$AB$9,0)+IF(A26=58,$AB$10+$AB$11,0)</f>
        <v>0</v>
      </c>
      <c r="S26" s="25" t="n">
        <f aca="false">G26+H26+I26+J26+K26+L26+P26+Q26+R26</f>
        <v>848175.584644464</v>
      </c>
      <c r="T26" s="25" t="n">
        <f aca="false">S26/E26</f>
        <v>605735.248949885</v>
      </c>
      <c r="U26" s="24" t="n">
        <f aca="false">1/(1+สมมติฐาน!$B$45)^(A26-1)</f>
        <v>0.51337324585177</v>
      </c>
      <c r="V26" s="25" t="n">
        <f aca="false">S26*U26</f>
        <v>435430.652941151</v>
      </c>
    </row>
    <row r="27" customFormat="false" ht="15" hidden="false" customHeight="true" outlineLevel="0" collapsed="false">
      <c r="A27" s="19" t="n">
        <v>19</v>
      </c>
      <c r="B27" s="19" t="n">
        <f aca="false">สมมติฐาน!$B$42+A27-1</f>
        <v>2587</v>
      </c>
      <c r="C27" s="19" t="n">
        <f aca="false">สมมติฐาน!$C$7+A27-1</f>
        <v>43</v>
      </c>
      <c r="D27" s="20" t="str">
        <f aca="false">IF(C27&lt;สมมติฐาน!$C$8,"รับราชการ","รับบำนาญ")</f>
        <v>รับราชการ</v>
      </c>
      <c r="E27" s="21" t="n">
        <f aca="false">(1+สมมติฐาน!$B$43)^(A27-1)</f>
        <v>1.42824624757627</v>
      </c>
      <c r="F27" s="14" t="n">
        <f aca="false">IF(D27="รับราชการ",สมมติฐาน!$C$13*(1+สมมติฐาน!$C$15)^(A27-1)*E27,0)</f>
        <v>45339.2868025255</v>
      </c>
      <c r="G27" s="14" t="n">
        <f aca="false">F27*12</f>
        <v>544071.441630306</v>
      </c>
      <c r="H27" s="14" t="n">
        <f aca="false">IF(D27="รับราชการ",IF(A27&gt;=สมมติฐาน!$C$19,สมมติฐาน!$C$18,IF(A27&gt;=สมมติฐาน!$C$17,สมมติฐาน!$C$16,0))*12*E27,0)</f>
        <v>59986.3423982035</v>
      </c>
      <c r="I27" s="14" t="n">
        <f aca="false">G27*สมมติฐาน!$C$21</f>
        <v>27203.5720815153</v>
      </c>
      <c r="J27" s="14" t="n">
        <f aca="false">IF(AND(D27="รับราชการ",A27&lt;=สมมติฐาน!$C$23),สมมติฐาน!$C$22*12*E27,0)</f>
        <v>0</v>
      </c>
      <c r="K27" s="14" t="n">
        <f aca="false">IF(AND(D27="รับราชการ",A27&gt;=สมมติฐาน!$C$27,A27&lt;สมมติฐาน!$C$27+สมมติฐาน!$C$28),สมมติฐาน!$C$25*สมมติฐาน!$C$26*E27,0)</f>
        <v>71412.3123788137</v>
      </c>
      <c r="L27" s="14" t="n">
        <f aca="false">G27*สมมติฐาน!$C$20</f>
        <v>16322.1432489092</v>
      </c>
      <c r="M27" s="19" t="n">
        <f aca="false">IF(D27="รับราชการ",สมมติฐาน!$C$30+IF(AND(A27&gt;=สมมติฐาน!$C$32,A27&lt;=สมมติฐาน!$C$33),สมมติฐาน!$C$31,0),0)</f>
        <v>4</v>
      </c>
      <c r="N27" s="19" t="n">
        <f aca="false">IF(AND(A27&gt;=สมมติฐาน!$C$35,A27&lt;=สมมติฐาน!$C$36),สมมติฐาน!$C$34,0)+IF(D27="รับราชการ",0,สมมติฐาน!$C$37)</f>
        <v>2</v>
      </c>
      <c r="O27" s="21" t="n">
        <f aca="false">(1+สมมติฐาน!$B$43)^(A27-1)*(1+สมมติฐาน!$B$44)^(A27-1)</f>
        <v>2.03988734371571</v>
      </c>
      <c r="P27" s="14" t="n">
        <f aca="false">(M27*สมมติฐาน!$C$38+N27*สมมติฐาน!$C$39)*O27</f>
        <v>167270.762184688</v>
      </c>
      <c r="Q27" s="14" t="n">
        <f aca="false">IF(D27="รับราชการ",0,$AB$6*12*(1+สมมติฐาน!$B$46)^(A27-35-1))</f>
        <v>0</v>
      </c>
      <c r="R27" s="14" t="n">
        <f aca="false">IF(C27=สมมติฐาน!$C$8,$AB$7,0)+IF(C27=65,$AB$9,0)+IF(A27=58,$AB$10+$AB$11,0)</f>
        <v>0</v>
      </c>
      <c r="S27" s="14" t="n">
        <f aca="false">G27+H27+I27+J27+K27+L27+P27+Q27+R27</f>
        <v>886266.573922435</v>
      </c>
      <c r="T27" s="14" t="n">
        <f aca="false">S27/E27</f>
        <v>620527.850450456</v>
      </c>
      <c r="U27" s="21" t="n">
        <f aca="false">1/(1+สมมติฐาน!$B$45)^(A27-1)</f>
        <v>0.493628121011318</v>
      </c>
      <c r="V27" s="14" t="n">
        <f aca="false">S27*U27</f>
        <v>437486.10360047</v>
      </c>
    </row>
    <row r="28" customFormat="false" ht="15" hidden="false" customHeight="true" outlineLevel="0" collapsed="false">
      <c r="A28" s="22" t="n">
        <v>20</v>
      </c>
      <c r="B28" s="22" t="n">
        <f aca="false">สมมติฐาน!$B$42+A28-1</f>
        <v>2588</v>
      </c>
      <c r="C28" s="22" t="n">
        <f aca="false">สมมติฐาน!$C$7+A28-1</f>
        <v>44</v>
      </c>
      <c r="D28" s="23" t="str">
        <f aca="false">IF(C28&lt;สมมติฐาน!$C$8,"รับราชการ","รับบำนาญ")</f>
        <v>รับราชการ</v>
      </c>
      <c r="E28" s="24" t="n">
        <f aca="false">(1+สมมติฐาน!$B$43)^(A28-1)</f>
        <v>1.4568111725278</v>
      </c>
      <c r="F28" s="25" t="n">
        <f aca="false">IF(D28="รับราชการ",สมมติฐาน!$C$13*(1+สมมติฐาน!$C$15)^(A28-1)*E28,0)</f>
        <v>47694.7515146808</v>
      </c>
      <c r="G28" s="25" t="n">
        <f aca="false">F28*12</f>
        <v>572337.018176169</v>
      </c>
      <c r="H28" s="25" t="n">
        <f aca="false">IF(D28="รับราชการ",IF(A28&gt;=สมมติฐาน!$C$19,สมมติฐาน!$C$18,IF(A28&gt;=สมมติฐาน!$C$17,สมมติฐาน!$C$16,0))*12*E28,0)</f>
        <v>97897.7107938681</v>
      </c>
      <c r="I28" s="25" t="n">
        <f aca="false">G28*สมมติฐาน!$C$21</f>
        <v>28616.8509088085</v>
      </c>
      <c r="J28" s="25" t="n">
        <f aca="false">IF(AND(D28="รับราชการ",A28&lt;=สมมติฐาน!$C$23),สมมติฐาน!$C$22*12*E28,0)</f>
        <v>0</v>
      </c>
      <c r="K28" s="25" t="n">
        <f aca="false">IF(AND(D28="รับราชการ",A28&gt;=สมมติฐาน!$C$27,A28&lt;สมมติฐาน!$C$27+สมมติฐาน!$C$28),สมมติฐาน!$C$25*สมมติฐาน!$C$26*E28,0)</f>
        <v>72840.55862639</v>
      </c>
      <c r="L28" s="25" t="n">
        <f aca="false">G28*สมมติฐาน!$C$20</f>
        <v>17170.1105452851</v>
      </c>
      <c r="M28" s="22" t="n">
        <f aca="false">IF(D28="รับราชการ",สมมติฐาน!$C$30+IF(AND(A28&gt;=สมมติฐาน!$C$32,A28&lt;=สมมติฐาน!$C$33),สมมติฐาน!$C$31,0),0)</f>
        <v>4</v>
      </c>
      <c r="N28" s="22" t="n">
        <f aca="false">IF(AND(A28&gt;=สมมติฐาน!$C$35,A28&lt;=สมมติฐาน!$C$36),สมมติฐาน!$C$34,0)+IF(D28="รับราชการ",0,สมมติฐาน!$C$37)</f>
        <v>2</v>
      </c>
      <c r="O28" s="24" t="n">
        <f aca="false">(1+สมมติฐาน!$B$43)^(A28-1)*(1+สมมติฐาน!$B$44)^(A28-1)</f>
        <v>2.12229879240182</v>
      </c>
      <c r="P28" s="25" t="n">
        <f aca="false">(M28*สมมติฐาน!$C$38+N28*สมมติฐาน!$C$39)*O28</f>
        <v>174028.500976949</v>
      </c>
      <c r="Q28" s="25" t="n">
        <f aca="false">IF(D28="รับราชการ",0,$AB$6*12*(1+สมมติฐาน!$B$46)^(A28-35-1))</f>
        <v>0</v>
      </c>
      <c r="R28" s="25" t="n">
        <f aca="false">IF(C28=สมมติฐาน!$C$8,$AB$7,0)+IF(C28=65,$AB$9,0)+IF(A28=58,$AB$10+$AB$11,0)</f>
        <v>0</v>
      </c>
      <c r="S28" s="25" t="n">
        <f aca="false">G28+H28+I28+J28+K28+L28+P28+Q28+R28</f>
        <v>962890.75002747</v>
      </c>
      <c r="T28" s="25" t="n">
        <f aca="false">S28/E28</f>
        <v>660957.829117072</v>
      </c>
      <c r="U28" s="24" t="n">
        <f aca="false">1/(1+สมมติฐาน!$B$45)^(A28-1)</f>
        <v>0.474642424049344</v>
      </c>
      <c r="V28" s="25" t="n">
        <f aca="false">S28*U28</f>
        <v>457028.799687729</v>
      </c>
    </row>
    <row r="29" customFormat="false" ht="15" hidden="false" customHeight="true" outlineLevel="0" collapsed="false">
      <c r="A29" s="19" t="n">
        <v>21</v>
      </c>
      <c r="B29" s="19" t="n">
        <f aca="false">สมมติฐาน!$B$42+A29-1</f>
        <v>2589</v>
      </c>
      <c r="C29" s="19" t="n">
        <f aca="false">สมมติฐาน!$C$7+A29-1</f>
        <v>45</v>
      </c>
      <c r="D29" s="20" t="str">
        <f aca="false">IF(C29&lt;สมมติฐาน!$C$8,"รับราชการ","รับบำนาญ")</f>
        <v>รับราชการ</v>
      </c>
      <c r="E29" s="21" t="n">
        <f aca="false">(1+สมมติฐาน!$B$43)^(A29-1)</f>
        <v>1.48594739597836</v>
      </c>
      <c r="F29" s="14" t="n">
        <f aca="false">IF(D29="รับราชการ",สมมติฐาน!$C$13*(1+สมมติฐาน!$C$15)^(A29-1)*E29,0)</f>
        <v>50172.5872300319</v>
      </c>
      <c r="G29" s="14" t="n">
        <f aca="false">F29*12</f>
        <v>602071.046760383</v>
      </c>
      <c r="H29" s="14" t="n">
        <f aca="false">IF(D29="รับราชการ",IF(A29&gt;=สมมติฐาน!$C$19,สมมติฐาน!$C$18,IF(A29&gt;=สมมติฐาน!$C$17,สมมติฐาน!$C$16,0))*12*E29,0)</f>
        <v>99855.6650097455</v>
      </c>
      <c r="I29" s="14" t="n">
        <f aca="false">G29*สมมติฐาน!$C$21</f>
        <v>30103.5523380192</v>
      </c>
      <c r="J29" s="14" t="n">
        <f aca="false">IF(AND(D29="รับราชการ",A29&lt;=สมมติฐาน!$C$23),สมมติฐาน!$C$22*12*E29,0)</f>
        <v>0</v>
      </c>
      <c r="K29" s="14" t="n">
        <f aca="false">IF(AND(D29="รับราชการ",A29&gt;=สมมติฐาน!$C$27,A29&lt;สมมติฐาน!$C$27+สมมติฐาน!$C$28),สมมติฐาน!$C$25*สมมติฐาน!$C$26*E29,0)</f>
        <v>74297.3697989178</v>
      </c>
      <c r="L29" s="14" t="n">
        <f aca="false">G29*สมมติฐาน!$C$20</f>
        <v>18062.1314028115</v>
      </c>
      <c r="M29" s="19" t="n">
        <f aca="false">IF(D29="รับราชการ",สมมติฐาน!$C$30+IF(AND(A29&gt;=สมมติฐาน!$C$32,A29&lt;=สมมติฐาน!$C$33),สมมติฐาน!$C$31,0),0)</f>
        <v>4</v>
      </c>
      <c r="N29" s="19" t="n">
        <f aca="false">IF(AND(A29&gt;=สมมติฐาน!$C$35,A29&lt;=สมมติฐาน!$C$36),สมมติฐาน!$C$34,0)+IF(D29="รับราชการ",0,สมมติฐาน!$C$37)</f>
        <v>2</v>
      </c>
      <c r="O29" s="21" t="n">
        <f aca="false">(1+สมมติฐาน!$B$43)^(A29-1)*(1+สมมติฐาน!$B$44)^(A29-1)</f>
        <v>2.20803966361485</v>
      </c>
      <c r="P29" s="14" t="n">
        <f aca="false">(M29*สมมติฐาน!$C$38+N29*สมมติฐาน!$C$39)*O29</f>
        <v>181059.252416418</v>
      </c>
      <c r="Q29" s="14" t="n">
        <f aca="false">IF(D29="รับราชการ",0,$AB$6*12*(1+สมมติฐาน!$B$46)^(A29-35-1))</f>
        <v>0</v>
      </c>
      <c r="R29" s="14" t="n">
        <f aca="false">IF(C29=สมมติฐาน!$C$8,$AB$7,0)+IF(C29=65,$AB$9,0)+IF(A29=58,$AB$10+$AB$11,0)</f>
        <v>0</v>
      </c>
      <c r="S29" s="14" t="n">
        <f aca="false">G29+H29+I29+J29+K29+L29+P29+Q29+R29</f>
        <v>1005449.0177263</v>
      </c>
      <c r="T29" s="14" t="n">
        <f aca="false">S29/E29</f>
        <v>676638.365831452</v>
      </c>
      <c r="U29" s="21" t="n">
        <f aca="false">1/(1+สมมติฐาน!$B$45)^(A29-1)</f>
        <v>0.456386946201292</v>
      </c>
      <c r="V29" s="14" t="n">
        <f aca="false">S29*U29</f>
        <v>458873.806761193</v>
      </c>
    </row>
    <row r="30" customFormat="false" ht="15" hidden="false" customHeight="true" outlineLevel="0" collapsed="false">
      <c r="A30" s="22" t="n">
        <v>22</v>
      </c>
      <c r="B30" s="22" t="n">
        <f aca="false">สมมติฐาน!$B$42+A30-1</f>
        <v>2590</v>
      </c>
      <c r="C30" s="22" t="n">
        <f aca="false">สมมติฐาน!$C$7+A30-1</f>
        <v>46</v>
      </c>
      <c r="D30" s="23" t="str">
        <f aca="false">IF(C30&lt;สมมติฐาน!$C$8,"รับราชการ","รับบำนาญ")</f>
        <v>รับราชการ</v>
      </c>
      <c r="E30" s="24" t="n">
        <f aca="false">(1+สมมติฐาน!$B$43)^(A30-1)</f>
        <v>1.51566634389792</v>
      </c>
      <c r="F30" s="25" t="n">
        <f aca="false">IF(D30="รับราชการ",สมมติฐาน!$C$13*(1+สมมติฐาน!$C$15)^(A30-1)*E30,0)</f>
        <v>52779.1513617662</v>
      </c>
      <c r="G30" s="25" t="n">
        <f aca="false">F30*12</f>
        <v>633349.816341194</v>
      </c>
      <c r="H30" s="25" t="n">
        <f aca="false">IF(D30="รับราชการ",IF(A30&gt;=สมมติฐาน!$C$19,สมมติฐาน!$C$18,IF(A30&gt;=สมมติฐาน!$C$17,สมมติฐาน!$C$16,0))*12*E30,0)</f>
        <v>101852.77830994</v>
      </c>
      <c r="I30" s="25" t="n">
        <f aca="false">G30*สมมติฐาน!$C$21</f>
        <v>31667.4908170597</v>
      </c>
      <c r="J30" s="25" t="n">
        <f aca="false">IF(AND(D30="รับราชการ",A30&lt;=สมมติฐาน!$C$23),สมมติฐาน!$C$22*12*E30,0)</f>
        <v>0</v>
      </c>
      <c r="K30" s="25" t="n">
        <f aca="false">IF(AND(D30="รับราชการ",A30&gt;=สมมติฐาน!$C$27,A30&lt;สมมติฐาน!$C$27+สมมติฐาน!$C$28),สมมติฐาน!$C$25*สมมติฐาน!$C$26*E30,0)</f>
        <v>75783.3171948961</v>
      </c>
      <c r="L30" s="25" t="n">
        <f aca="false">G30*สมมติฐาน!$C$20</f>
        <v>19000.4944902358</v>
      </c>
      <c r="M30" s="22" t="n">
        <f aca="false">IF(D30="รับราชการ",สมมติฐาน!$C$30+IF(AND(A30&gt;=สมมติฐาน!$C$32,A30&lt;=สมมติฐาน!$C$33),สมมติฐาน!$C$31,0),0)</f>
        <v>4</v>
      </c>
      <c r="N30" s="22" t="n">
        <f aca="false">IF(AND(A30&gt;=สมมติฐาน!$C$35,A30&lt;=สมมติฐาน!$C$36),สมมติฐาน!$C$34,0)+IF(D30="รับราชการ",0,สมมติฐาน!$C$37)</f>
        <v>2</v>
      </c>
      <c r="O30" s="24" t="n">
        <f aca="false">(1+สมมติฐาน!$B$43)^(A30-1)*(1+สมมติฐาน!$B$44)^(A30-1)</f>
        <v>2.29724446602489</v>
      </c>
      <c r="P30" s="25" t="n">
        <f aca="false">(M30*สมมติฐาน!$C$38+N30*สมมติฐาน!$C$39)*O30</f>
        <v>188374.046214041</v>
      </c>
      <c r="Q30" s="25" t="n">
        <f aca="false">IF(D30="รับราชการ",0,$AB$6*12*(1+สมมติฐาน!$B$46)^(A30-35-1))</f>
        <v>0</v>
      </c>
      <c r="R30" s="25" t="n">
        <f aca="false">IF(C30=สมมติฐาน!$C$8,$AB$7,0)+IF(C30=65,$AB$9,0)+IF(A30=58,$AB$10+$AB$11,0)</f>
        <v>0</v>
      </c>
      <c r="S30" s="25" t="n">
        <f aca="false">G30+H30+I30+J30+K30+L30+P30+Q30+R30</f>
        <v>1050027.94336737</v>
      </c>
      <c r="T30" s="25" t="n">
        <f aca="false">S30/E30</f>
        <v>692783.043969264</v>
      </c>
      <c r="U30" s="24" t="n">
        <f aca="false">1/(1+สมมติฐาน!$B$45)^(A30-1)</f>
        <v>0.438833602116627</v>
      </c>
      <c r="V30" s="25" t="n">
        <f aca="false">S30*U30</f>
        <v>460787.544711016</v>
      </c>
    </row>
    <row r="31" customFormat="false" ht="15" hidden="false" customHeight="true" outlineLevel="0" collapsed="false">
      <c r="A31" s="19" t="n">
        <v>23</v>
      </c>
      <c r="B31" s="19" t="n">
        <f aca="false">สมมติฐาน!$B$42+A31-1</f>
        <v>2591</v>
      </c>
      <c r="C31" s="19" t="n">
        <f aca="false">สมมติฐาน!$C$7+A31-1</f>
        <v>47</v>
      </c>
      <c r="D31" s="20" t="str">
        <f aca="false">IF(C31&lt;สมมติฐาน!$C$8,"รับราชการ","รับบำนาญ")</f>
        <v>รับราชการ</v>
      </c>
      <c r="E31" s="21" t="n">
        <f aca="false">(1+สมมติฐาน!$B$43)^(A31-1)</f>
        <v>1.54597967077588</v>
      </c>
      <c r="F31" s="14" t="n">
        <f aca="false">IF(D31="รับราชการ",สมมติฐาน!$C$13*(1+สมมติฐาน!$C$15)^(A31-1)*E31,0)</f>
        <v>55521.131603132</v>
      </c>
      <c r="G31" s="14" t="n">
        <f aca="false">F31*12</f>
        <v>666253.579237584</v>
      </c>
      <c r="H31" s="14" t="n">
        <f aca="false">IF(D31="รับราชการ",IF(A31&gt;=สมมติฐาน!$C$19,สมมติฐาน!$C$18,IF(A31&gt;=สมมติฐาน!$C$17,สมมติฐาน!$C$16,0))*12*E31,0)</f>
        <v>103889.833876139</v>
      </c>
      <c r="I31" s="14" t="n">
        <f aca="false">G31*สมมติฐาน!$C$21</f>
        <v>33312.6789618792</v>
      </c>
      <c r="J31" s="14" t="n">
        <f aca="false">IF(AND(D31="รับราชการ",A31&lt;=สมมติฐาน!$C$23),สมมติฐาน!$C$22*12*E31,0)</f>
        <v>0</v>
      </c>
      <c r="K31" s="14" t="n">
        <f aca="false">IF(AND(D31="รับราชการ",A31&gt;=สมมติฐาน!$C$27,A31&lt;สมมติฐาน!$C$27+สมมติฐาน!$C$28),สมมติฐาน!$C$25*สมมติฐาน!$C$26*E31,0)</f>
        <v>77298.983538794</v>
      </c>
      <c r="L31" s="14" t="n">
        <f aca="false">G31*สมมติฐาน!$C$20</f>
        <v>19987.6073771275</v>
      </c>
      <c r="M31" s="19" t="n">
        <f aca="false">IF(D31="รับราชการ",สมมติฐาน!$C$30+IF(AND(A31&gt;=สมมติฐาน!$C$32,A31&lt;=สมมติฐาน!$C$33),สมมติฐาน!$C$31,0),0)</f>
        <v>4</v>
      </c>
      <c r="N31" s="19" t="n">
        <f aca="false">IF(AND(A31&gt;=สมมติฐาน!$C$35,A31&lt;=สมมติฐาน!$C$36),สมมติฐาน!$C$34,0)+IF(D31="รับราชการ",0,สมมติฐาน!$C$37)</f>
        <v>0</v>
      </c>
      <c r="O31" s="21" t="n">
        <f aca="false">(1+สมมติฐาน!$B$43)^(A31-1)*(1+สมมติฐาน!$B$44)^(A31-1)</f>
        <v>2.3900531424523</v>
      </c>
      <c r="P31" s="14" t="n">
        <f aca="false">(M31*สมมติฐาน!$C$38+N31*สมมติฐาน!$C$39)*O31</f>
        <v>76481.7005584736</v>
      </c>
      <c r="Q31" s="14" t="n">
        <f aca="false">IF(D31="รับราชการ",0,$AB$6*12*(1+สมมติฐาน!$B$46)^(A31-35-1))</f>
        <v>0</v>
      </c>
      <c r="R31" s="14" t="n">
        <f aca="false">IF(C31=สมมติฐาน!$C$8,$AB$7,0)+IF(C31=65,$AB$9,0)+IF(A31=58,$AB$10+$AB$11,0)</f>
        <v>0</v>
      </c>
      <c r="S31" s="14" t="n">
        <f aca="false">G31+H31+I31+J31+K31+L31+P31+Q31+R31</f>
        <v>977224.383549998</v>
      </c>
      <c r="T31" s="14" t="n">
        <f aca="false">S31/E31</f>
        <v>632106.878261574</v>
      </c>
      <c r="U31" s="21" t="n">
        <f aca="false">1/(1+สมมติฐาน!$B$45)^(A31-1)</f>
        <v>0.421955386650603</v>
      </c>
      <c r="V31" s="14" t="n">
        <f aca="false">S31*U31</f>
        <v>412345.092605236</v>
      </c>
    </row>
    <row r="32" customFormat="false" ht="15" hidden="false" customHeight="true" outlineLevel="0" collapsed="false">
      <c r="A32" s="22" t="n">
        <v>24</v>
      </c>
      <c r="B32" s="22" t="n">
        <f aca="false">สมมติฐาน!$B$42+A32-1</f>
        <v>2592</v>
      </c>
      <c r="C32" s="22" t="n">
        <f aca="false">สมมติฐาน!$C$7+A32-1</f>
        <v>48</v>
      </c>
      <c r="D32" s="23" t="str">
        <f aca="false">IF(C32&lt;สมมติฐาน!$C$8,"รับราชการ","รับบำนาญ")</f>
        <v>รับราชการ</v>
      </c>
      <c r="E32" s="24" t="n">
        <f aca="false">(1+สมมติฐาน!$B$43)^(A32-1)</f>
        <v>1.5768992641914</v>
      </c>
      <c r="F32" s="25" t="n">
        <f aca="false">IF(D32="รับราชการ",สมมติฐาน!$C$13*(1+สมมติฐาน!$C$15)^(A32-1)*E32,0)</f>
        <v>58405.563086135</v>
      </c>
      <c r="G32" s="25" t="n">
        <f aca="false">F32*12</f>
        <v>700866.757033621</v>
      </c>
      <c r="H32" s="25" t="n">
        <f aca="false">IF(D32="รับราชการ",IF(A32&gt;=สมมติฐาน!$C$19,สมมติฐาน!$C$18,IF(A32&gt;=สมมติฐาน!$C$17,สมมติฐาน!$C$16,0))*12*E32,0)</f>
        <v>105967.630553662</v>
      </c>
      <c r="I32" s="25" t="n">
        <f aca="false">G32*สมมติฐาน!$C$21</f>
        <v>35043.337851681</v>
      </c>
      <c r="J32" s="25" t="n">
        <f aca="false">IF(AND(D32="รับราชการ",A32&lt;=สมมติฐาน!$C$23),สมมติฐาน!$C$22*12*E32,0)</f>
        <v>0</v>
      </c>
      <c r="K32" s="25" t="n">
        <f aca="false">IF(AND(D32="รับราชการ",A32&gt;=สมมติฐาน!$C$27,A32&lt;สมมติฐาน!$C$27+สมมติฐาน!$C$28),สมมติฐาน!$C$25*สมมติฐาน!$C$26*E32,0)</f>
        <v>78844.9632095699</v>
      </c>
      <c r="L32" s="25" t="n">
        <f aca="false">G32*สมมติฐาน!$C$20</f>
        <v>21026.0027110086</v>
      </c>
      <c r="M32" s="22" t="n">
        <f aca="false">IF(D32="รับราชการ",สมมติฐาน!$C$30+IF(AND(A32&gt;=สมมติฐาน!$C$32,A32&lt;=สมมติฐาน!$C$33),สมมติฐาน!$C$31,0),0)</f>
        <v>4</v>
      </c>
      <c r="N32" s="22" t="n">
        <f aca="false">IF(AND(A32&gt;=สมมติฐาน!$C$35,A32&lt;=สมมติฐาน!$C$36),สมมติฐาน!$C$34,0)+IF(D32="รับราชการ",0,สมมติฐาน!$C$37)</f>
        <v>0</v>
      </c>
      <c r="O32" s="24" t="n">
        <f aca="false">(1+สมมติฐาน!$B$43)^(A32-1)*(1+สมมติฐาน!$B$44)^(A32-1)</f>
        <v>2.48661128940737</v>
      </c>
      <c r="P32" s="25" t="n">
        <f aca="false">(M32*สมมติฐาน!$C$38+N32*สมมติฐาน!$C$39)*O32</f>
        <v>79571.5612610359</v>
      </c>
      <c r="Q32" s="25" t="n">
        <f aca="false">IF(D32="รับราชการ",0,$AB$6*12*(1+สมมติฐาน!$B$46)^(A32-35-1))</f>
        <v>0</v>
      </c>
      <c r="R32" s="25" t="n">
        <f aca="false">IF(C32=สมมติฐาน!$C$8,$AB$7,0)+IF(C32=65,$AB$9,0)+IF(A32=58,$AB$10+$AB$11,0)</f>
        <v>0</v>
      </c>
      <c r="S32" s="25" t="n">
        <f aca="false">G32+H32+I32+J32+K32+L32+P32+Q32+R32</f>
        <v>1021320.25262058</v>
      </c>
      <c r="T32" s="25" t="n">
        <f aca="false">S32/E32</f>
        <v>647676.282063769</v>
      </c>
      <c r="U32" s="24" t="n">
        <f aca="false">1/(1+สมมติฐาน!$B$45)^(A32-1)</f>
        <v>0.405726333317887</v>
      </c>
      <c r="V32" s="25" t="n">
        <f aca="false">S32*U32</f>
        <v>414376.521239046</v>
      </c>
    </row>
    <row r="33" customFormat="false" ht="15" hidden="false" customHeight="true" outlineLevel="0" collapsed="false">
      <c r="A33" s="19" t="n">
        <v>25</v>
      </c>
      <c r="B33" s="19" t="n">
        <f aca="false">สมมติฐาน!$B$42+A33-1</f>
        <v>2593</v>
      </c>
      <c r="C33" s="19" t="n">
        <f aca="false">สมมติฐาน!$C$7+A33-1</f>
        <v>49</v>
      </c>
      <c r="D33" s="20" t="str">
        <f aca="false">IF(C33&lt;สมมติฐาน!$C$8,"รับราชการ","รับบำนาญ")</f>
        <v>รับราชการ</v>
      </c>
      <c r="E33" s="21" t="n">
        <f aca="false">(1+สมมติฐาน!$B$43)^(A33-1)</f>
        <v>1.60843724947523</v>
      </c>
      <c r="F33" s="14" t="n">
        <f aca="false">IF(D33="รับราชการ",สมมติฐาน!$C$13*(1+สมมติฐาน!$C$15)^(A33-1)*E33,0)</f>
        <v>61439.8464316615</v>
      </c>
      <c r="G33" s="14" t="n">
        <f aca="false">F33*12</f>
        <v>737278.157179939</v>
      </c>
      <c r="H33" s="14" t="n">
        <f aca="false">IF(D33="รับราชการ",IF(A33&gt;=สมมติฐาน!$C$19,สมมติฐาน!$C$18,IF(A33&gt;=สมมติฐาน!$C$17,สมมติฐาน!$C$16,0))*12*E33,0)</f>
        <v>108086.983164735</v>
      </c>
      <c r="I33" s="14" t="n">
        <f aca="false">G33*สมมติฐาน!$C$21</f>
        <v>36863.9078589969</v>
      </c>
      <c r="J33" s="14" t="n">
        <f aca="false">IF(AND(D33="รับราชการ",A33&lt;=สมมติฐาน!$C$23),สมมติฐาน!$C$22*12*E33,0)</f>
        <v>0</v>
      </c>
      <c r="K33" s="14" t="n">
        <f aca="false">IF(AND(D33="รับราชการ",A33&gt;=สมมติฐาน!$C$27,A33&lt;สมมติฐาน!$C$27+สมมติฐาน!$C$28),สมมติฐาน!$C$25*สมมติฐาน!$C$26*E33,0)</f>
        <v>80421.8624737613</v>
      </c>
      <c r="L33" s="14" t="n">
        <f aca="false">G33*สมมติฐาน!$C$20</f>
        <v>22118.3447153982</v>
      </c>
      <c r="M33" s="19" t="n">
        <f aca="false">IF(D33="รับราชการ",สมมติฐาน!$C$30+IF(AND(A33&gt;=สมมติฐาน!$C$32,A33&lt;=สมมติฐาน!$C$33),สมมติฐาน!$C$31,0),0)</f>
        <v>4</v>
      </c>
      <c r="N33" s="19" t="n">
        <f aca="false">IF(AND(A33&gt;=สมมติฐาน!$C$35,A33&lt;=สมมติฐาน!$C$36),สมมติฐาน!$C$34,0)+IF(D33="รับราชการ",0,สมมติฐาน!$C$37)</f>
        <v>0</v>
      </c>
      <c r="O33" s="21" t="n">
        <f aca="false">(1+สมมติฐาน!$B$43)^(A33-1)*(1+สมมติฐาน!$B$44)^(A33-1)</f>
        <v>2.58707038549943</v>
      </c>
      <c r="P33" s="14" t="n">
        <f aca="false">(M33*สมมติฐาน!$C$38+N33*สมมติฐาน!$C$39)*O33</f>
        <v>82786.2523359818</v>
      </c>
      <c r="Q33" s="14" t="n">
        <f aca="false">IF(D33="รับราชการ",0,$AB$6*12*(1+สมมติฐาน!$B$46)^(A33-35-1))</f>
        <v>0</v>
      </c>
      <c r="R33" s="14" t="n">
        <f aca="false">IF(C33=สมมติฐาน!$C$8,$AB$7,0)+IF(C33=65,$AB$9,0)+IF(A33=58,$AB$10+$AB$11,0)</f>
        <v>0</v>
      </c>
      <c r="S33" s="14" t="n">
        <f aca="false">G33+H33+I33+J33+K33+L33+P33+Q33+R33</f>
        <v>1067555.50772881</v>
      </c>
      <c r="T33" s="14" t="n">
        <f aca="false">S33/E33</f>
        <v>663722.198722465</v>
      </c>
      <c r="U33" s="21" t="n">
        <f aca="false">1/(1+สมมติฐาน!$B$45)^(A33-1)</f>
        <v>0.390121474344123</v>
      </c>
      <c r="V33" s="14" t="n">
        <f aca="false">S33*U33</f>
        <v>416476.328619352</v>
      </c>
    </row>
    <row r="34" customFormat="false" ht="15" hidden="false" customHeight="true" outlineLevel="0" collapsed="false">
      <c r="A34" s="22" t="n">
        <v>26</v>
      </c>
      <c r="B34" s="22" t="n">
        <f aca="false">สมมติฐาน!$B$42+A34-1</f>
        <v>2594</v>
      </c>
      <c r="C34" s="22" t="n">
        <f aca="false">สมมติฐาน!$C$7+A34-1</f>
        <v>50</v>
      </c>
      <c r="D34" s="23" t="str">
        <f aca="false">IF(C34&lt;สมมติฐาน!$C$8,"รับราชการ","รับบำนาญ")</f>
        <v>รับราชการ</v>
      </c>
      <c r="E34" s="24" t="n">
        <f aca="false">(1+สมมติฐาน!$B$43)^(A34-1)</f>
        <v>1.64060599446473</v>
      </c>
      <c r="F34" s="25" t="n">
        <f aca="false">IF(D34="รับราชการ",สมมติฐาน!$C$13*(1+สมมติฐาน!$C$15)^(A34-1)*E34,0)</f>
        <v>64631.7667373413</v>
      </c>
      <c r="G34" s="25" t="n">
        <f aca="false">F34*12</f>
        <v>775581.200848096</v>
      </c>
      <c r="H34" s="25" t="n">
        <f aca="false">IF(D34="รับราชการ",IF(A34&gt;=สมมติฐาน!$C$19,สมมติฐาน!$C$18,IF(A34&gt;=สมมติฐาน!$C$17,สมมติฐาน!$C$16,0))*12*E34,0)</f>
        <v>110248.72282803</v>
      </c>
      <c r="I34" s="25" t="n">
        <f aca="false">G34*สมมติฐาน!$C$21</f>
        <v>38779.0600424048</v>
      </c>
      <c r="J34" s="25" t="n">
        <f aca="false">IF(AND(D34="รับราชการ",A34&lt;=สมมติฐาน!$C$23),สมมติฐาน!$C$22*12*E34,0)</f>
        <v>0</v>
      </c>
      <c r="K34" s="25" t="n">
        <f aca="false">IF(AND(D34="รับราชการ",A34&gt;=สมมติฐาน!$C$27,A34&lt;สมมติฐาน!$C$27+สมมติฐาน!$C$28),สมมติฐาน!$C$25*สมมติฐาน!$C$26*E34,0)</f>
        <v>0</v>
      </c>
      <c r="L34" s="25" t="n">
        <f aca="false">G34*สมมติฐาน!$C$20</f>
        <v>23267.4360254429</v>
      </c>
      <c r="M34" s="22" t="n">
        <f aca="false">IF(D34="รับราชการ",สมมติฐาน!$C$30+IF(AND(A34&gt;=สมมติฐาน!$C$32,A34&lt;=สมมติฐาน!$C$33),สมมติฐาน!$C$31,0),0)</f>
        <v>4</v>
      </c>
      <c r="N34" s="22" t="n">
        <f aca="false">IF(AND(A34&gt;=สมมติฐาน!$C$35,A34&lt;=สมมติฐาน!$C$36),สมมติฐาน!$C$34,0)+IF(D34="รับราชการ",0,สมมติฐาน!$C$37)</f>
        <v>0</v>
      </c>
      <c r="O34" s="24" t="n">
        <f aca="false">(1+สมมติฐาน!$B$43)^(A34-1)*(1+สมมติฐาน!$B$44)^(A34-1)</f>
        <v>2.69158802907361</v>
      </c>
      <c r="P34" s="25" t="n">
        <f aca="false">(M34*สมมติฐาน!$C$38+N34*สมมติฐาน!$C$39)*O34</f>
        <v>86130.8169303555</v>
      </c>
      <c r="Q34" s="25" t="n">
        <f aca="false">IF(D34="รับราชการ",0,$AB$6*12*(1+สมมติฐาน!$B$46)^(A34-35-1))</f>
        <v>0</v>
      </c>
      <c r="R34" s="25" t="n">
        <f aca="false">IF(C34=สมมติฐาน!$C$8,$AB$7,0)+IF(C34=65,$AB$9,0)+IF(A34=58,$AB$10+$AB$11,0)</f>
        <v>0</v>
      </c>
      <c r="S34" s="25" t="n">
        <f aca="false">G34+H34+I34+J34+K34+L34+P34+Q34+R34</f>
        <v>1034007.23667433</v>
      </c>
      <c r="T34" s="25" t="n">
        <f aca="false">S34/E34</f>
        <v>630259.331102644</v>
      </c>
      <c r="U34" s="24" t="n">
        <f aca="false">1/(1+สมมติฐาน!$B$45)^(A34-1)</f>
        <v>0.375116802253964</v>
      </c>
      <c r="V34" s="25" t="n">
        <f aca="false">S34*U34</f>
        <v>387873.488128732</v>
      </c>
    </row>
    <row r="35" customFormat="false" ht="15" hidden="false" customHeight="true" outlineLevel="0" collapsed="false">
      <c r="A35" s="19" t="n">
        <v>27</v>
      </c>
      <c r="B35" s="19" t="n">
        <f aca="false">สมมติฐาน!$B$42+A35-1</f>
        <v>2595</v>
      </c>
      <c r="C35" s="19" t="n">
        <f aca="false">สมมติฐาน!$C$7+A35-1</f>
        <v>51</v>
      </c>
      <c r="D35" s="20" t="str">
        <f aca="false">IF(C35&lt;สมมติฐาน!$C$8,"รับราชการ","รับบำนาญ")</f>
        <v>รับราชการ</v>
      </c>
      <c r="E35" s="21" t="n">
        <f aca="false">(1+สมมติฐาน!$B$43)^(A35-1)</f>
        <v>1.67341811435403</v>
      </c>
      <c r="F35" s="14" t="n">
        <f aca="false">IF(D35="รับราชการ",สมมติฐาน!$C$13*(1+สมมติฐาน!$C$15)^(A35-1)*E35,0)</f>
        <v>67989.5135518673</v>
      </c>
      <c r="G35" s="14" t="n">
        <f aca="false">F35*12</f>
        <v>815874.162622408</v>
      </c>
      <c r="H35" s="14" t="n">
        <f aca="false">IF(D35="รับราชการ",IF(A35&gt;=สมมติฐาน!$C$19,สมมติฐาน!$C$18,IF(A35&gt;=สมมติฐาน!$C$17,สมมติฐาน!$C$16,0))*12*E35,0)</f>
        <v>112453.697284591</v>
      </c>
      <c r="I35" s="14" t="n">
        <f aca="false">G35*สมมติฐาน!$C$21</f>
        <v>40793.7081311204</v>
      </c>
      <c r="J35" s="14" t="n">
        <f aca="false">IF(AND(D35="รับราชการ",A35&lt;=สมมติฐาน!$C$23),สมมติฐาน!$C$22*12*E35,0)</f>
        <v>0</v>
      </c>
      <c r="K35" s="14" t="n">
        <f aca="false">IF(AND(D35="รับราชการ",A35&gt;=สมมติฐาน!$C$27,A35&lt;สมมติฐาน!$C$27+สมมติฐาน!$C$28),สมมติฐาน!$C$25*สมมติฐาน!$C$26*E35,0)</f>
        <v>0</v>
      </c>
      <c r="L35" s="14" t="n">
        <f aca="false">G35*สมมติฐาน!$C$20</f>
        <v>24476.2248786722</v>
      </c>
      <c r="M35" s="19" t="n">
        <f aca="false">IF(D35="รับราชการ",สมมติฐาน!$C$30+IF(AND(A35&gt;=สมมติฐาน!$C$32,A35&lt;=สมมติฐาน!$C$33),สมมติฐาน!$C$31,0),0)</f>
        <v>4</v>
      </c>
      <c r="N35" s="19" t="n">
        <f aca="false">IF(AND(A35&gt;=สมมติฐาน!$C$35,A35&lt;=สมมติฐาน!$C$36),สมมติฐาน!$C$34,0)+IF(D35="รับราชการ",0,สมมติฐาน!$C$37)</f>
        <v>0</v>
      </c>
      <c r="O35" s="21" t="n">
        <f aca="false">(1+สมมติฐาน!$B$43)^(A35-1)*(1+สมมติฐาน!$B$44)^(A35-1)</f>
        <v>2.80032818544818</v>
      </c>
      <c r="P35" s="14" t="n">
        <f aca="false">(M35*สมมติฐาน!$C$38+N35*สมมติฐาน!$C$39)*O35</f>
        <v>89610.5019343418</v>
      </c>
      <c r="Q35" s="14" t="n">
        <f aca="false">IF(D35="รับราชการ",0,$AB$6*12*(1+สมมติฐาน!$B$46)^(A35-35-1))</f>
        <v>0</v>
      </c>
      <c r="R35" s="14" t="n">
        <f aca="false">IF(C35=สมมติฐาน!$C$8,$AB$7,0)+IF(C35=65,$AB$9,0)+IF(A35=58,$AB$10+$AB$11,0)</f>
        <v>0</v>
      </c>
      <c r="S35" s="14" t="n">
        <f aca="false">G35+H35+I35+J35+K35+L35+P35+Q35+R35</f>
        <v>1083208.29485113</v>
      </c>
      <c r="T35" s="14" t="n">
        <f aca="false">S35/E35</f>
        <v>647302.838160847</v>
      </c>
      <c r="U35" s="21" t="n">
        <f aca="false">1/(1+สมมติฐาน!$B$45)^(A35-1)</f>
        <v>0.360689232936504</v>
      </c>
      <c r="V35" s="14" t="n">
        <f aca="false">S35*U35</f>
        <v>390701.568980313</v>
      </c>
    </row>
    <row r="36" customFormat="false" ht="15" hidden="false" customHeight="true" outlineLevel="0" collapsed="false">
      <c r="A36" s="22" t="n">
        <v>28</v>
      </c>
      <c r="B36" s="22" t="n">
        <f aca="false">สมมติฐาน!$B$42+A36-1</f>
        <v>2596</v>
      </c>
      <c r="C36" s="22" t="n">
        <f aca="false">สมมติฐาน!$C$7+A36-1</f>
        <v>52</v>
      </c>
      <c r="D36" s="23" t="str">
        <f aca="false">IF(C36&lt;สมมติฐาน!$C$8,"รับราชการ","รับบำนาญ")</f>
        <v>รับราชการ</v>
      </c>
      <c r="E36" s="24" t="n">
        <f aca="false">(1+สมมติฐาน!$B$43)^(A36-1)</f>
        <v>1.70688647664111</v>
      </c>
      <c r="F36" s="25" t="n">
        <f aca="false">IF(D36="รับราชการ",สมมติฐาน!$C$13*(1+สมมติฐาน!$C$15)^(A36-1)*E36,0)</f>
        <v>71521.7018870201</v>
      </c>
      <c r="G36" s="25" t="n">
        <f aca="false">F36*12</f>
        <v>858260.422644242</v>
      </c>
      <c r="H36" s="25" t="n">
        <f aca="false">IF(D36="รับราชการ",IF(A36&gt;=สมมติฐาน!$C$19,สมมติฐาน!$C$18,IF(A36&gt;=สมมติฐาน!$C$17,สมมติฐาน!$C$16,0))*12*E36,0)</f>
        <v>114702.771230282</v>
      </c>
      <c r="I36" s="25" t="n">
        <f aca="false">G36*สมมติฐาน!$C$21</f>
        <v>42913.0211322121</v>
      </c>
      <c r="J36" s="25" t="n">
        <f aca="false">IF(AND(D36="รับราชการ",A36&lt;=สมมติฐาน!$C$23),สมมติฐาน!$C$22*12*E36,0)</f>
        <v>0</v>
      </c>
      <c r="K36" s="25" t="n">
        <f aca="false">IF(AND(D36="รับราชการ",A36&gt;=สมมติฐาน!$C$27,A36&lt;สมมติฐาน!$C$27+สมมติฐาน!$C$28),สมมติฐาน!$C$25*สมมติฐาน!$C$26*E36,0)</f>
        <v>0</v>
      </c>
      <c r="L36" s="25" t="n">
        <f aca="false">G36*สมมติฐาน!$C$20</f>
        <v>25747.8126793273</v>
      </c>
      <c r="M36" s="22" t="n">
        <f aca="false">IF(D36="รับราชการ",สมมติฐาน!$C$30+IF(AND(A36&gt;=สมมติฐาน!$C$32,A36&lt;=สมมติฐาน!$C$33),สมมติฐาน!$C$31,0),0)</f>
        <v>2</v>
      </c>
      <c r="N36" s="22" t="n">
        <f aca="false">IF(AND(A36&gt;=สมมติฐาน!$C$35,A36&lt;=สมมติฐาน!$C$36),สมมติฐาน!$C$34,0)+IF(D36="รับราชการ",0,สมมติฐาน!$C$37)</f>
        <v>0</v>
      </c>
      <c r="O36" s="24" t="n">
        <f aca="false">(1+สมมติฐาน!$B$43)^(A36-1)*(1+สมมติฐาน!$B$44)^(A36-1)</f>
        <v>2.91346144414029</v>
      </c>
      <c r="P36" s="25" t="n">
        <f aca="false">(M36*สมมติฐาน!$C$38+N36*สมมติฐาน!$C$39)*O36</f>
        <v>46615.3831062446</v>
      </c>
      <c r="Q36" s="25" t="n">
        <f aca="false">IF(D36="รับราชการ",0,$AB$6*12*(1+สมมติฐาน!$B$46)^(A36-35-1))</f>
        <v>0</v>
      </c>
      <c r="R36" s="25" t="n">
        <f aca="false">IF(C36=สมมติฐาน!$C$8,$AB$7,0)+IF(C36=65,$AB$9,0)+IF(A36=58,$AB$10+$AB$11,0)</f>
        <v>0</v>
      </c>
      <c r="S36" s="25" t="n">
        <f aca="false">G36+H36+I36+J36+K36+L36+P36+Q36+R36</f>
        <v>1088239.41079231</v>
      </c>
      <c r="T36" s="25" t="n">
        <f aca="false">S36/E36</f>
        <v>637558.165516548</v>
      </c>
      <c r="U36" s="24" t="n">
        <f aca="false">1/(1+สมมติฐาน!$B$45)^(A36-1)</f>
        <v>0.346816570131254</v>
      </c>
      <c r="V36" s="25" t="n">
        <f aca="false">S36*U36</f>
        <v>377419.459932645</v>
      </c>
    </row>
    <row r="37" customFormat="false" ht="15" hidden="false" customHeight="true" outlineLevel="0" collapsed="false">
      <c r="A37" s="19" t="n">
        <v>29</v>
      </c>
      <c r="B37" s="19" t="n">
        <f aca="false">สมมติฐาน!$B$42+A37-1</f>
        <v>2597</v>
      </c>
      <c r="C37" s="19" t="n">
        <f aca="false">สมมติฐาน!$C$7+A37-1</f>
        <v>53</v>
      </c>
      <c r="D37" s="20" t="str">
        <f aca="false">IF(C37&lt;สมมติฐาน!$C$8,"รับราชการ","รับบำนาญ")</f>
        <v>รับราชการ</v>
      </c>
      <c r="E37" s="21" t="n">
        <f aca="false">(1+สมมติฐาน!$B$43)^(A37-1)</f>
        <v>1.74102420617393</v>
      </c>
      <c r="F37" s="14" t="n">
        <f aca="false">IF(D37="รับราชการ",สมมติฐาน!$C$13*(1+สมมติฐาน!$C$15)^(A37-1)*E37,0)</f>
        <v>75237.3943213084</v>
      </c>
      <c r="G37" s="14" t="n">
        <f aca="false">F37*12</f>
        <v>902848.7318557</v>
      </c>
      <c r="H37" s="14" t="n">
        <f aca="false">IF(D37="รับราชการ",IF(A37&gt;=สมมติฐาน!$C$19,สมมติฐาน!$C$18,IF(A37&gt;=สมมติฐาน!$C$17,สมมติฐาน!$C$16,0))*12*E37,0)</f>
        <v>116996.826654888</v>
      </c>
      <c r="I37" s="14" t="n">
        <f aca="false">G37*สมมติฐาน!$C$21</f>
        <v>45142.436592785</v>
      </c>
      <c r="J37" s="14" t="n">
        <f aca="false">IF(AND(D37="รับราชการ",A37&lt;=สมมติฐาน!$C$23),สมมติฐาน!$C$22*12*E37,0)</f>
        <v>0</v>
      </c>
      <c r="K37" s="14" t="n">
        <f aca="false">IF(AND(D37="รับราชการ",A37&gt;=สมมติฐาน!$C$27,A37&lt;สมมติฐาน!$C$27+สมมติฐาน!$C$28),สมมติฐาน!$C$25*สมมติฐาน!$C$26*E37,0)</f>
        <v>0</v>
      </c>
      <c r="L37" s="14" t="n">
        <f aca="false">G37*สมมติฐาน!$C$20</f>
        <v>27085.461955671</v>
      </c>
      <c r="M37" s="19" t="n">
        <f aca="false">IF(D37="รับราชการ",สมมติฐาน!$C$30+IF(AND(A37&gt;=สมมติฐาน!$C$32,A37&lt;=สมมติฐาน!$C$33),สมมติฐาน!$C$31,0),0)</f>
        <v>2</v>
      </c>
      <c r="N37" s="19" t="n">
        <f aca="false">IF(AND(A37&gt;=สมมติฐาน!$C$35,A37&lt;=สมมติฐาน!$C$36),สมมติฐาน!$C$34,0)+IF(D37="รับราชการ",0,สมมติฐาน!$C$37)</f>
        <v>0</v>
      </c>
      <c r="O37" s="21" t="n">
        <f aca="false">(1+สมมติฐาน!$B$43)^(A37-1)*(1+สมมติฐาน!$B$44)^(A37-1)</f>
        <v>3.03116528648356</v>
      </c>
      <c r="P37" s="14" t="n">
        <f aca="false">(M37*สมมติฐาน!$C$38+N37*สมมติฐาน!$C$39)*O37</f>
        <v>48498.6445837369</v>
      </c>
      <c r="Q37" s="14" t="n">
        <f aca="false">IF(D37="รับราชการ",0,$AB$6*12*(1+สมมติฐาน!$B$46)^(A37-35-1))</f>
        <v>0</v>
      </c>
      <c r="R37" s="14" t="n">
        <f aca="false">IF(C37=สมมติฐาน!$C$8,$AB$7,0)+IF(C37=65,$AB$9,0)+IF(A37=58,$AB$10+$AB$11,0)</f>
        <v>0</v>
      </c>
      <c r="S37" s="14" t="n">
        <f aca="false">G37+H37+I37+J37+K37+L37+P37+Q37+R37</f>
        <v>1140572.10164278</v>
      </c>
      <c r="T37" s="14" t="n">
        <f aca="false">S37/E37</f>
        <v>655115.590925241</v>
      </c>
      <c r="U37" s="21" t="n">
        <f aca="false">1/(1+สมมติฐาน!$B$45)^(A37-1)</f>
        <v>0.333477471280052</v>
      </c>
      <c r="V37" s="14" t="n">
        <f aca="false">S37*U37</f>
        <v>380355.100268409</v>
      </c>
    </row>
    <row r="38" customFormat="false" ht="15" hidden="false" customHeight="true" outlineLevel="0" collapsed="false">
      <c r="A38" s="22" t="n">
        <v>30</v>
      </c>
      <c r="B38" s="22" t="n">
        <f aca="false">สมมติฐาน!$B$42+A38-1</f>
        <v>2598</v>
      </c>
      <c r="C38" s="22" t="n">
        <f aca="false">สมมติฐาน!$C$7+A38-1</f>
        <v>54</v>
      </c>
      <c r="D38" s="23" t="str">
        <f aca="false">IF(C38&lt;สมมติฐาน!$C$8,"รับราชการ","รับบำนาญ")</f>
        <v>รับราชการ</v>
      </c>
      <c r="E38" s="24" t="n">
        <f aca="false">(1+สมมติฐาน!$B$43)^(A38-1)</f>
        <v>1.77584469029741</v>
      </c>
      <c r="F38" s="25" t="n">
        <f aca="false">IF(D38="รับราชการ",สมมติฐาน!$C$13*(1+สมมติฐาน!$C$15)^(A38-1)*E38,0)</f>
        <v>79146.1242519363</v>
      </c>
      <c r="G38" s="25" t="n">
        <f aca="false">F38*12</f>
        <v>949753.491023236</v>
      </c>
      <c r="H38" s="25" t="n">
        <f aca="false">IF(D38="รับราชการ",IF(A38&gt;=สมมติฐาน!$C$19,สมมติฐาน!$C$18,IF(A38&gt;=สมมติฐาน!$C$17,สมมติฐาน!$C$16,0))*12*E38,0)</f>
        <v>119336.763187986</v>
      </c>
      <c r="I38" s="25" t="n">
        <f aca="false">G38*สมมติฐาน!$C$21</f>
        <v>47487.6745511618</v>
      </c>
      <c r="J38" s="25" t="n">
        <f aca="false">IF(AND(D38="รับราชการ",A38&lt;=สมมติฐาน!$C$23),สมมติฐาน!$C$22*12*E38,0)</f>
        <v>0</v>
      </c>
      <c r="K38" s="25" t="n">
        <f aca="false">IF(AND(D38="รับราชการ",A38&gt;=สมมติฐาน!$C$27,A38&lt;สมมติฐาน!$C$27+สมมติฐาน!$C$28),สมมติฐาน!$C$25*สมมติฐาน!$C$26*E38,0)</f>
        <v>0</v>
      </c>
      <c r="L38" s="25" t="n">
        <f aca="false">G38*สมมติฐาน!$C$20</f>
        <v>28492.6047306971</v>
      </c>
      <c r="M38" s="22" t="n">
        <f aca="false">IF(D38="รับราชการ",สมมติฐาน!$C$30+IF(AND(A38&gt;=สมมติฐาน!$C$32,A38&lt;=สมมติฐาน!$C$33),สมมติฐาน!$C$31,0),0)</f>
        <v>2</v>
      </c>
      <c r="N38" s="22" t="n">
        <f aca="false">IF(AND(A38&gt;=สมมติฐาน!$C$35,A38&lt;=สมมติฐาน!$C$36),สมมติฐาน!$C$34,0)+IF(D38="รับราชการ",0,สมมติฐาน!$C$37)</f>
        <v>0</v>
      </c>
      <c r="O38" s="24" t="n">
        <f aca="false">(1+สมมติฐาน!$B$43)^(A38-1)*(1+สมมติฐาน!$B$44)^(A38-1)</f>
        <v>3.15362436405749</v>
      </c>
      <c r="P38" s="25" t="n">
        <f aca="false">(M38*สมมติฐาน!$C$38+N38*สมมติฐาน!$C$39)*O38</f>
        <v>50457.9898249199</v>
      </c>
      <c r="Q38" s="25" t="n">
        <f aca="false">IF(D38="รับราชการ",0,$AB$6*12*(1+สมมติฐาน!$B$46)^(A38-35-1))</f>
        <v>0</v>
      </c>
      <c r="R38" s="25" t="n">
        <f aca="false">IF(C38=สมมติฐาน!$C$8,$AB$7,0)+IF(C38=65,$AB$9,0)+IF(A38=58,$AB$10+$AB$11,0)</f>
        <v>0</v>
      </c>
      <c r="S38" s="25" t="n">
        <f aca="false">G38+H38+I38+J38+K38+L38+P38+Q38+R38</f>
        <v>1195528.523318</v>
      </c>
      <c r="T38" s="25" t="n">
        <f aca="false">S38/E38</f>
        <v>673216.82456239</v>
      </c>
      <c r="U38" s="24" t="n">
        <f aca="false">1/(1+สมมติฐาน!$B$45)^(A38-1)</f>
        <v>0.320651414692357</v>
      </c>
      <c r="V38" s="25" t="n">
        <f aca="false">S38*U38</f>
        <v>383347.912306982</v>
      </c>
    </row>
    <row r="39" customFormat="false" ht="15" hidden="false" customHeight="true" outlineLevel="0" collapsed="false">
      <c r="A39" s="19" t="n">
        <v>31</v>
      </c>
      <c r="B39" s="19" t="n">
        <f aca="false">สมมติฐาน!$B$42+A39-1</f>
        <v>2599</v>
      </c>
      <c r="C39" s="19" t="n">
        <f aca="false">สมมติฐาน!$C$7+A39-1</f>
        <v>55</v>
      </c>
      <c r="D39" s="20" t="str">
        <f aca="false">IF(C39&lt;สมมติฐาน!$C$8,"รับราชการ","รับบำนาญ")</f>
        <v>รับราชการ</v>
      </c>
      <c r="E39" s="21" t="n">
        <f aca="false">(1+สมมติฐาน!$B$43)^(A39-1)</f>
        <v>1.81136158410335</v>
      </c>
      <c r="F39" s="14" t="n">
        <f aca="false">IF(D39="รับราชการ",สมมติฐาน!$C$13*(1+สมมติฐาน!$C$15)^(A39-1)*E39,0)</f>
        <v>83257.9203547571</v>
      </c>
      <c r="G39" s="14" t="n">
        <f aca="false">F39*12</f>
        <v>999095.044257085</v>
      </c>
      <c r="H39" s="14" t="n">
        <f aca="false">IF(D39="รับราชการ",IF(A39&gt;=สมมติฐาน!$C$19,สมมติฐาน!$C$18,IF(A39&gt;=สมมติฐาน!$C$17,สมมติฐาน!$C$16,0))*12*E39,0)</f>
        <v>121723.498451745</v>
      </c>
      <c r="I39" s="14" t="n">
        <f aca="false">G39*สมมติฐาน!$C$21</f>
        <v>49954.7522128542</v>
      </c>
      <c r="J39" s="14" t="n">
        <f aca="false">IF(AND(D39="รับราชการ",A39&lt;=สมมติฐาน!$C$23),สมมติฐาน!$C$22*12*E39,0)</f>
        <v>0</v>
      </c>
      <c r="K39" s="14" t="n">
        <f aca="false">IF(AND(D39="รับราชการ",A39&gt;=สมมติฐาน!$C$27,A39&lt;สมมติฐาน!$C$27+สมมติฐาน!$C$28),สมมติฐาน!$C$25*สมมติฐาน!$C$26*E39,0)</f>
        <v>0</v>
      </c>
      <c r="L39" s="14" t="n">
        <f aca="false">G39*สมมติฐาน!$C$20</f>
        <v>29972.8513277125</v>
      </c>
      <c r="M39" s="19" t="n">
        <f aca="false">IF(D39="รับราชการ",สมมติฐาน!$C$30+IF(AND(A39&gt;=สมมติฐาน!$C$32,A39&lt;=สมมติฐาน!$C$33),สมมติฐาน!$C$31,0),0)</f>
        <v>2</v>
      </c>
      <c r="N39" s="19" t="n">
        <f aca="false">IF(AND(A39&gt;=สมมติฐาน!$C$35,A39&lt;=สมมติฐาน!$C$36),สมมติฐาน!$C$34,0)+IF(D39="รับราชการ",0,สมมติฐาน!$C$37)</f>
        <v>0</v>
      </c>
      <c r="O39" s="21" t="n">
        <f aca="false">(1+สมมติฐาน!$B$43)^(A39-1)*(1+สมมติฐาน!$B$44)^(A39-1)</f>
        <v>3.28103078836542</v>
      </c>
      <c r="P39" s="14" t="n">
        <f aca="false">(M39*สมมติฐาน!$C$38+N39*สมมติฐาน!$C$39)*O39</f>
        <v>52496.4926138466</v>
      </c>
      <c r="Q39" s="14" t="n">
        <f aca="false">IF(D39="รับราชการ",0,$AB$6*12*(1+สมมติฐาน!$B$46)^(A39-35-1))</f>
        <v>0</v>
      </c>
      <c r="R39" s="14" t="n">
        <f aca="false">IF(C39=สมมติฐาน!$C$8,$AB$7,0)+IF(C39=65,$AB$9,0)+IF(A39=58,$AB$10+$AB$11,0)</f>
        <v>0</v>
      </c>
      <c r="S39" s="14" t="n">
        <f aca="false">G39+H39+I39+J39+K39+L39+P39+Q39+R39</f>
        <v>1253242.63886324</v>
      </c>
      <c r="T39" s="14" t="n">
        <f aca="false">S39/E39</f>
        <v>691878.777744761</v>
      </c>
      <c r="U39" s="21" t="n">
        <f aca="false">1/(1+สมมติฐาน!$B$45)^(A39-1)</f>
        <v>0.30831866797342</v>
      </c>
      <c r="V39" s="14" t="n">
        <f aca="false">S39*U39</f>
        <v>386398.10106181</v>
      </c>
    </row>
    <row r="40" customFormat="false" ht="15" hidden="false" customHeight="true" outlineLevel="0" collapsed="false">
      <c r="A40" s="22" t="n">
        <v>32</v>
      </c>
      <c r="B40" s="22" t="n">
        <f aca="false">สมมติฐาน!$B$42+A40-1</f>
        <v>2600</v>
      </c>
      <c r="C40" s="22" t="n">
        <f aca="false">สมมติฐาน!$C$7+A40-1</f>
        <v>56</v>
      </c>
      <c r="D40" s="23" t="str">
        <f aca="false">IF(C40&lt;สมมติฐาน!$C$8,"รับราชการ","รับบำนาญ")</f>
        <v>รับราชการ</v>
      </c>
      <c r="E40" s="24" t="n">
        <f aca="false">(1+สมมติฐาน!$B$43)^(A40-1)</f>
        <v>1.84758881578542</v>
      </c>
      <c r="F40" s="25" t="n">
        <f aca="false">IF(D40="รับราชการ",สมมติฐาน!$C$13*(1+สมมติฐาน!$C$15)^(A40-1)*E40,0)</f>
        <v>87583.3323149678</v>
      </c>
      <c r="G40" s="25" t="n">
        <f aca="false">F40*12</f>
        <v>1050999.98777961</v>
      </c>
      <c r="H40" s="25" t="n">
        <f aca="false">IF(D40="รับราชการ",IF(A40&gt;=สมมติฐาน!$C$19,สมมติฐาน!$C$18,IF(A40&gt;=สมมติฐาน!$C$17,สมมติฐาน!$C$16,0))*12*E40,0)</f>
        <v>124157.96842078</v>
      </c>
      <c r="I40" s="25" t="n">
        <f aca="false">G40*สมมติฐาน!$C$21</f>
        <v>52549.9993889807</v>
      </c>
      <c r="J40" s="25" t="n">
        <f aca="false">IF(AND(D40="รับราชการ",A40&lt;=สมมติฐาน!$C$23),สมมติฐาน!$C$22*12*E40,0)</f>
        <v>0</v>
      </c>
      <c r="K40" s="25" t="n">
        <f aca="false">IF(AND(D40="รับราชการ",A40&gt;=สมมติฐาน!$C$27,A40&lt;สมมติฐาน!$C$27+สมมติฐาน!$C$28),สมมติฐาน!$C$25*สมมติฐาน!$C$26*E40,0)</f>
        <v>0</v>
      </c>
      <c r="L40" s="25" t="n">
        <f aca="false">G40*สมมติฐาน!$C$20</f>
        <v>31529.9996333884</v>
      </c>
      <c r="M40" s="22" t="n">
        <f aca="false">IF(D40="รับราชการ",สมมติฐาน!$C$30+IF(AND(A40&gt;=สมมติฐาน!$C$32,A40&lt;=สมมติฐาน!$C$33),สมมติฐาน!$C$31,0),0)</f>
        <v>2</v>
      </c>
      <c r="N40" s="22" t="n">
        <f aca="false">IF(AND(A40&gt;=สมมติฐาน!$C$35,A40&lt;=สมมติฐาน!$C$36),สมมติฐาน!$C$34,0)+IF(D40="รับราชการ",0,สมมติฐาน!$C$37)</f>
        <v>0</v>
      </c>
      <c r="O40" s="24" t="n">
        <f aca="false">(1+สมมติฐาน!$B$43)^(A40-1)*(1+สมมติฐาน!$B$44)^(A40-1)</f>
        <v>3.41358443221538</v>
      </c>
      <c r="P40" s="25" t="n">
        <f aca="false">(M40*สมมติฐาน!$C$38+N40*สมมติฐาน!$C$39)*O40</f>
        <v>54617.350915446</v>
      </c>
      <c r="Q40" s="25" t="n">
        <f aca="false">IF(D40="รับราชการ",0,$AB$6*12*(1+สมมติฐาน!$B$46)^(A40-35-1))</f>
        <v>0</v>
      </c>
      <c r="R40" s="25" t="n">
        <f aca="false">IF(C40=สมมติฐาน!$C$8,$AB$7,0)+IF(C40=65,$AB$9,0)+IF(A40=58,$AB$10+$AB$11,0)</f>
        <v>0</v>
      </c>
      <c r="S40" s="25" t="n">
        <f aca="false">G40+H40+I40+J40+K40+L40+P40+Q40+R40</f>
        <v>1313855.30613821</v>
      </c>
      <c r="T40" s="25" t="n">
        <f aca="false">S40/E40</f>
        <v>711118.889069308</v>
      </c>
      <c r="U40" s="24" t="n">
        <f aca="false">1/(1+สมมติฐาน!$B$45)^(A40-1)</f>
        <v>0.29646025766675</v>
      </c>
      <c r="V40" s="25" t="n">
        <f aca="false">S40*U40</f>
        <v>389505.88259456</v>
      </c>
    </row>
    <row r="41" customFormat="false" ht="15" hidden="false" customHeight="true" outlineLevel="0" collapsed="false">
      <c r="A41" s="19" t="n">
        <v>33</v>
      </c>
      <c r="B41" s="19" t="n">
        <f aca="false">สมมติฐาน!$B$42+A41-1</f>
        <v>2601</v>
      </c>
      <c r="C41" s="19" t="n">
        <f aca="false">สมมติฐาน!$C$7+A41-1</f>
        <v>57</v>
      </c>
      <c r="D41" s="20" t="str">
        <f aca="false">IF(C41&lt;สมมติฐาน!$C$8,"รับราชการ","รับบำนาญ")</f>
        <v>รับราชการ</v>
      </c>
      <c r="E41" s="21" t="n">
        <f aca="false">(1+สมมติฐาน!$B$43)^(A41-1)</f>
        <v>1.88454059210113</v>
      </c>
      <c r="F41" s="14" t="n">
        <f aca="false">IF(D41="รับราชการ",สมมติฐาน!$C$13*(1+สมมติฐาน!$C$15)^(A41-1)*E41,0)</f>
        <v>92133.4578945653</v>
      </c>
      <c r="G41" s="14" t="n">
        <f aca="false">F41*12</f>
        <v>1105601.49473478</v>
      </c>
      <c r="H41" s="14" t="n">
        <f aca="false">IF(D41="รับราชการ",IF(A41&gt;=สมมติฐาน!$C$19,สมมติฐาน!$C$18,IF(A41&gt;=สมมติฐาน!$C$17,สมมติฐาน!$C$16,0))*12*E41,0)</f>
        <v>126641.127789196</v>
      </c>
      <c r="I41" s="14" t="n">
        <f aca="false">G41*สมมติฐาน!$C$21</f>
        <v>55280.0747367392</v>
      </c>
      <c r="J41" s="14" t="n">
        <f aca="false">IF(AND(D41="รับราชการ",A41&lt;=สมมติฐาน!$C$23),สมมติฐาน!$C$22*12*E41,0)</f>
        <v>0</v>
      </c>
      <c r="K41" s="14" t="n">
        <f aca="false">IF(AND(D41="รับราชการ",A41&gt;=สมมติฐาน!$C$27,A41&lt;สมมติฐาน!$C$27+สมมติฐาน!$C$28),สมมติฐาน!$C$25*สมมติฐาน!$C$26*E41,0)</f>
        <v>0</v>
      </c>
      <c r="L41" s="14" t="n">
        <f aca="false">G41*สมมติฐาน!$C$20</f>
        <v>33168.0448420435</v>
      </c>
      <c r="M41" s="19" t="n">
        <f aca="false">IF(D41="รับราชการ",สมมติฐาน!$C$30+IF(AND(A41&gt;=สมมติฐาน!$C$32,A41&lt;=สมมติฐาน!$C$33),สมมติฐาน!$C$31,0),0)</f>
        <v>2</v>
      </c>
      <c r="N41" s="19" t="n">
        <f aca="false">IF(AND(A41&gt;=สมมติฐาน!$C$35,A41&lt;=สมมติฐาน!$C$36),สมมติฐาน!$C$34,0)+IF(D41="รับราชการ",0,สมมติฐาน!$C$37)</f>
        <v>0</v>
      </c>
      <c r="O41" s="21" t="n">
        <f aca="false">(1+สมมติฐาน!$B$43)^(A41-1)*(1+สมมติฐาน!$B$44)^(A41-1)</f>
        <v>3.55149324327688</v>
      </c>
      <c r="P41" s="14" t="n">
        <f aca="false">(M41*สมมติฐาน!$C$38+N41*สมมติฐาน!$C$39)*O41</f>
        <v>56823.8918924301</v>
      </c>
      <c r="Q41" s="14" t="n">
        <f aca="false">IF(D41="รับราชการ",0,$AB$6*12*(1+สมมติฐาน!$B$46)^(A41-35-1))</f>
        <v>0</v>
      </c>
      <c r="R41" s="14" t="n">
        <f aca="false">IF(C41=สมมติฐาน!$C$8,$AB$7,0)+IF(C41=65,$AB$9,0)+IF(A41=58,$AB$10+$AB$11,0)</f>
        <v>0</v>
      </c>
      <c r="S41" s="14" t="n">
        <f aca="false">G41+H41+I41+J41+K41+L41+P41+Q41+R41</f>
        <v>1377514.63399519</v>
      </c>
      <c r="T41" s="14" t="n">
        <f aca="false">S41/E41</f>
        <v>730955.140880972</v>
      </c>
      <c r="U41" s="21" t="n">
        <f aca="false">1/(1+สมมติฐาน!$B$45)^(A41-1)</f>
        <v>0.285057940064183</v>
      </c>
      <c r="V41" s="14" t="n">
        <f aca="false">S41*U41</f>
        <v>392671.483974937</v>
      </c>
    </row>
    <row r="42" customFormat="false" ht="15" hidden="false" customHeight="true" outlineLevel="0" collapsed="false">
      <c r="A42" s="22" t="n">
        <v>34</v>
      </c>
      <c r="B42" s="22" t="n">
        <f aca="false">สมมติฐาน!$B$42+A42-1</f>
        <v>2602</v>
      </c>
      <c r="C42" s="22" t="n">
        <f aca="false">สมมติฐาน!$C$7+A42-1</f>
        <v>58</v>
      </c>
      <c r="D42" s="23" t="str">
        <f aca="false">IF(C42&lt;สมมติฐาน!$C$8,"รับราชการ","รับบำนาญ")</f>
        <v>รับราชการ</v>
      </c>
      <c r="E42" s="24" t="n">
        <f aca="false">(1+สมมติฐาน!$B$43)^(A42-1)</f>
        <v>1.92223140394315</v>
      </c>
      <c r="F42" s="25" t="n">
        <f aca="false">IF(D42="รับราชการ",สมมติฐาน!$C$13*(1+สมมติฐาน!$C$15)^(A42-1)*E42,0)</f>
        <v>96919.9714060087</v>
      </c>
      <c r="G42" s="25" t="n">
        <f aca="false">F42*12</f>
        <v>1163039.6568721</v>
      </c>
      <c r="H42" s="25" t="n">
        <f aca="false">IF(D42="รับราชการ",IF(A42&gt;=สมมติฐาน!$C$19,สมมติฐาน!$C$18,IF(A42&gt;=สมมติฐาน!$C$17,สมมติฐาน!$C$16,0))*12*E42,0)</f>
        <v>129173.95034498</v>
      </c>
      <c r="I42" s="25" t="n">
        <f aca="false">G42*สมมติฐาน!$C$21</f>
        <v>58151.9828436052</v>
      </c>
      <c r="J42" s="25" t="n">
        <f aca="false">IF(AND(D42="รับราชการ",A42&lt;=สมมติฐาน!$C$23),สมมติฐาน!$C$22*12*E42,0)</f>
        <v>0</v>
      </c>
      <c r="K42" s="25" t="n">
        <f aca="false">IF(AND(D42="รับราชการ",A42&gt;=สมมติฐาน!$C$27,A42&lt;สมมติฐาน!$C$27+สมมติฐาน!$C$28),สมมติฐาน!$C$25*สมมติฐาน!$C$26*E42,0)</f>
        <v>0</v>
      </c>
      <c r="L42" s="25" t="n">
        <f aca="false">G42*สมมติฐาน!$C$20</f>
        <v>34891.1897061631</v>
      </c>
      <c r="M42" s="22" t="n">
        <f aca="false">IF(D42="รับราชการ",สมมติฐาน!$C$30+IF(AND(A42&gt;=สมมติฐาน!$C$32,A42&lt;=สมมติฐาน!$C$33),สมมติฐาน!$C$31,0),0)</f>
        <v>2</v>
      </c>
      <c r="N42" s="22" t="n">
        <f aca="false">IF(AND(A42&gt;=สมมติฐาน!$C$35,A42&lt;=สมมติฐาน!$C$36),สมมติฐาน!$C$34,0)+IF(D42="รับราชการ",0,สมมติฐาน!$C$37)</f>
        <v>0</v>
      </c>
      <c r="O42" s="24" t="n">
        <f aca="false">(1+สมมติฐาน!$B$43)^(A42-1)*(1+สมมติฐาน!$B$44)^(A42-1)</f>
        <v>3.69497357030527</v>
      </c>
      <c r="P42" s="25" t="n">
        <f aca="false">(M42*สมมติฐาน!$C$38+N42*สมมติฐาน!$C$39)*O42</f>
        <v>59119.5771248842</v>
      </c>
      <c r="Q42" s="25" t="n">
        <f aca="false">IF(D42="รับราชการ",0,$AB$6*12*(1+สมมติฐาน!$B$46)^(A42-35-1))</f>
        <v>0</v>
      </c>
      <c r="R42" s="25" t="n">
        <f aca="false">IF(C42=สมมติฐาน!$C$8,$AB$7,0)+IF(C42=65,$AB$9,0)+IF(A42=58,$AB$10+$AB$11,0)</f>
        <v>0</v>
      </c>
      <c r="S42" s="25" t="n">
        <f aca="false">G42+H42+I42+J42+K42+L42+P42+Q42+R42</f>
        <v>1444376.35689174</v>
      </c>
      <c r="T42" s="25" t="n">
        <f aca="false">S42/E42</f>
        <v>751406.076255349</v>
      </c>
      <c r="U42" s="24" t="n">
        <f aca="false">1/(1+สมมติฐาน!$B$45)^(A42-1)</f>
        <v>0.274094173138638</v>
      </c>
      <c r="V42" s="25" t="n">
        <f aca="false">S42*U42</f>
        <v>395895.143243238</v>
      </c>
    </row>
    <row r="43" customFormat="false" ht="15" hidden="false" customHeight="true" outlineLevel="0" collapsed="false">
      <c r="A43" s="19" t="n">
        <v>35</v>
      </c>
      <c r="B43" s="19" t="n">
        <f aca="false">สมมติฐาน!$B$42+A43-1</f>
        <v>2603</v>
      </c>
      <c r="C43" s="19" t="n">
        <f aca="false">สมมติฐาน!$C$7+A43-1</f>
        <v>59</v>
      </c>
      <c r="D43" s="20" t="str">
        <f aca="false">IF(C43&lt;สมมติฐาน!$C$8,"รับราชการ","รับบำนาญ")</f>
        <v>รับราชการ</v>
      </c>
      <c r="E43" s="21" t="n">
        <f aca="false">(1+สมมติฐาน!$B$43)^(A43-1)</f>
        <v>1.96067603202202</v>
      </c>
      <c r="F43" s="14" t="n">
        <f aca="false">IF(D43="รับราชการ",สมมติฐาน!$C$13*(1+สมมติฐาน!$C$15)^(A43-1)*E43,0)</f>
        <v>101955.153665145</v>
      </c>
      <c r="G43" s="14" t="n">
        <f aca="false">F43*12</f>
        <v>1223461.84398174</v>
      </c>
      <c r="H43" s="14" t="n">
        <f aca="false">IF(D43="รับราชการ",IF(A43&gt;=สมมติฐาน!$C$19,สมมติฐาน!$C$18,IF(A43&gt;=สมมติฐาน!$C$17,สมมติฐาน!$C$16,0))*12*E43,0)</f>
        <v>131757.42935188</v>
      </c>
      <c r="I43" s="14" t="n">
        <f aca="false">G43*สมมติฐาน!$C$21</f>
        <v>61173.0921990868</v>
      </c>
      <c r="J43" s="14" t="n">
        <f aca="false">IF(AND(D43="รับราชการ",A43&lt;=สมมติฐาน!$C$23),สมมติฐาน!$C$22*12*E43,0)</f>
        <v>0</v>
      </c>
      <c r="K43" s="14" t="n">
        <f aca="false">IF(AND(D43="รับราชการ",A43&gt;=สมมติฐาน!$C$27,A43&lt;สมมติฐาน!$C$27+สมมติฐาน!$C$28),สมมติฐาน!$C$25*สมมติฐาน!$C$26*E43,0)</f>
        <v>0</v>
      </c>
      <c r="L43" s="14" t="n">
        <f aca="false">G43*สมมติฐาน!$C$20</f>
        <v>36703.8553194521</v>
      </c>
      <c r="M43" s="19" t="n">
        <f aca="false">IF(D43="รับราชการ",สมมติฐาน!$C$30+IF(AND(A43&gt;=สมมติฐาน!$C$32,A43&lt;=สมมติฐาน!$C$33),สมมติฐาน!$C$31,0),0)</f>
        <v>2</v>
      </c>
      <c r="N43" s="19" t="n">
        <f aca="false">IF(AND(A43&gt;=สมมติฐาน!$C$35,A43&lt;=สมมติฐาน!$C$36),สมมติฐาน!$C$34,0)+IF(D43="รับราชการ",0,สมมติฐาน!$C$37)</f>
        <v>0</v>
      </c>
      <c r="O43" s="21" t="n">
        <f aca="false">(1+สมมติฐาน!$B$43)^(A43-1)*(1+สมมติฐาน!$B$44)^(A43-1)</f>
        <v>3.8442505025456</v>
      </c>
      <c r="P43" s="14" t="n">
        <f aca="false">(M43*สมมติฐาน!$C$38+N43*สมมติฐาน!$C$39)*O43</f>
        <v>61508.0080407296</v>
      </c>
      <c r="Q43" s="14" t="n">
        <f aca="false">IF(D43="รับราชการ",0,$AB$6*12*(1+สมมติฐาน!$B$46)^(A43-35-1))</f>
        <v>0</v>
      </c>
      <c r="R43" s="14" t="n">
        <f aca="false">IF(C43=สมมติฐาน!$C$8,$AB$7,0)+IF(C43=65,$AB$9,0)+IF(A43=58,$AB$10+$AB$11,0)</f>
        <v>0</v>
      </c>
      <c r="S43" s="14" t="n">
        <f aca="false">G43+H43+I43+J43+K43+L43+P43+Q43+R43</f>
        <v>1514604.22889288</v>
      </c>
      <c r="T43" s="14" t="n">
        <f aca="false">S43/E43</f>
        <v>772490.816512351</v>
      </c>
      <c r="U43" s="21" t="n">
        <f aca="false">1/(1+สมมติฐาน!$B$45)^(A43-1)</f>
        <v>0.263552089556382</v>
      </c>
      <c r="V43" s="14" t="n">
        <f aca="false">S43*U43</f>
        <v>399177.109375652</v>
      </c>
    </row>
    <row r="44" customFormat="false" ht="15" hidden="false" customHeight="true" outlineLevel="0" collapsed="false">
      <c r="A44" s="22" t="n">
        <v>36</v>
      </c>
      <c r="B44" s="22" t="n">
        <f aca="false">สมมติฐาน!$B$42+A44-1</f>
        <v>2604</v>
      </c>
      <c r="C44" s="22" t="n">
        <f aca="false">สมมติฐาน!$C$7+A44-1</f>
        <v>60</v>
      </c>
      <c r="D44" s="23" t="str">
        <f aca="false">IF(C44&lt;สมมติฐาน!$C$8,"รับราชการ","รับบำนาญ")</f>
        <v>รับบำนาญ</v>
      </c>
      <c r="E44" s="24" t="n">
        <f aca="false">(1+สมมติฐาน!$B$43)^(A44-1)</f>
        <v>1.99988955266246</v>
      </c>
      <c r="F44" s="25" t="n">
        <f aca="false">IF(D44="รับราชการ",สมมติฐาน!$C$13*(1+สมมติฐาน!$C$15)^(A44-1)*E44,0)</f>
        <v>0</v>
      </c>
      <c r="G44" s="25" t="n">
        <f aca="false">F44*12</f>
        <v>0</v>
      </c>
      <c r="H44" s="25" t="n">
        <f aca="false">IF(D44="รับราชการ",IF(A44&gt;=สมมติฐาน!$C$19,สมมติฐาน!$C$18,IF(A44&gt;=สมมติฐาน!$C$17,สมมติฐาน!$C$16,0))*12*E44,0)</f>
        <v>0</v>
      </c>
      <c r="I44" s="25" t="n">
        <f aca="false">G44*สมมติฐาน!$C$21</f>
        <v>0</v>
      </c>
      <c r="J44" s="25" t="n">
        <f aca="false">IF(AND(D44="รับราชการ",A44&lt;=สมมติฐาน!$C$23),สมมติฐาน!$C$22*12*E44,0)</f>
        <v>0</v>
      </c>
      <c r="K44" s="25" t="n">
        <f aca="false">IF(AND(D44="รับราชการ",A44&gt;=สมมติฐาน!$C$27,A44&lt;สมมติฐาน!$C$27+สมมติฐาน!$C$28),สมมติฐาน!$C$25*สมมติฐาน!$C$26*E44,0)</f>
        <v>0</v>
      </c>
      <c r="L44" s="25" t="n">
        <f aca="false">G44*สมมติฐาน!$C$20</f>
        <v>0</v>
      </c>
      <c r="M44" s="22" t="n">
        <f aca="false">IF(D44="รับราชการ",สมมติฐาน!$C$30+IF(AND(A44&gt;=สมมติฐาน!$C$32,A44&lt;=สมมติฐาน!$C$33),สมมติฐาน!$C$31,0),0)</f>
        <v>0</v>
      </c>
      <c r="N44" s="22" t="n">
        <f aca="false">IF(AND(A44&gt;=สมมติฐาน!$C$35,A44&lt;=สมมติฐาน!$C$36),สมมติฐาน!$C$34,0)+IF(D44="รับราชการ",0,สมมติฐาน!$C$37)</f>
        <v>2</v>
      </c>
      <c r="O44" s="24" t="n">
        <f aca="false">(1+สมมติฐาน!$B$43)^(A44-1)*(1+สมมติฐาน!$B$44)^(A44-1)</f>
        <v>3.99955822284844</v>
      </c>
      <c r="P44" s="25" t="n">
        <f aca="false">(M44*สมมติฐาน!$C$38+N44*สมมติฐาน!$C$39)*O44</f>
        <v>199977.911142422</v>
      </c>
      <c r="Q44" s="25" t="n">
        <f aca="false">IF(D44="รับราชการ",0,$AB$6*12*(1+สมมติฐาน!$B$46)^(A44-35-1))</f>
        <v>775907.723867545</v>
      </c>
      <c r="R44" s="25" t="n">
        <f aca="false">IF(C44=สมมติฐาน!$C$8,$AB$7,0)+IF(C44=65,$AB$9,0)+IF(A44=58,$AB$10+$AB$11,0)</f>
        <v>200000</v>
      </c>
      <c r="S44" s="25" t="n">
        <f aca="false">G44+H44+I44+J44+K44+L44+P44+Q44+R44</f>
        <v>1175885.63500997</v>
      </c>
      <c r="T44" s="25" t="n">
        <f aca="false">S44/E44</f>
        <v>587975.287657515</v>
      </c>
      <c r="U44" s="24" t="n">
        <f aca="false">1/(1+สมมติฐาน!$B$45)^(A44-1)</f>
        <v>0.253415470727291</v>
      </c>
      <c r="V44" s="25" t="n">
        <f aca="false">S44*U44</f>
        <v>297987.61171751</v>
      </c>
    </row>
    <row r="45" customFormat="false" ht="15" hidden="false" customHeight="true" outlineLevel="0" collapsed="false">
      <c r="A45" s="19" t="n">
        <v>37</v>
      </c>
      <c r="B45" s="19" t="n">
        <f aca="false">สมมติฐาน!$B$42+A45-1</f>
        <v>2605</v>
      </c>
      <c r="C45" s="19" t="n">
        <f aca="false">สมมติฐาน!$C$7+A45-1</f>
        <v>61</v>
      </c>
      <c r="D45" s="20" t="str">
        <f aca="false">IF(C45&lt;สมมติฐาน!$C$8,"รับราชการ","รับบำนาญ")</f>
        <v>รับบำนาญ</v>
      </c>
      <c r="E45" s="21" t="n">
        <f aca="false">(1+สมมติฐาน!$B$43)^(A45-1)</f>
        <v>2.03988734371571</v>
      </c>
      <c r="F45" s="14" t="n">
        <f aca="false">IF(D45="รับราชการ",สมมติฐาน!$C$13*(1+สมมติฐาน!$C$15)^(A45-1)*E45,0)</f>
        <v>0</v>
      </c>
      <c r="G45" s="14" t="n">
        <f aca="false">F45*12</f>
        <v>0</v>
      </c>
      <c r="H45" s="14" t="n">
        <f aca="false">IF(D45="รับราชการ",IF(A45&gt;=สมมติฐาน!$C$19,สมมติฐาน!$C$18,IF(A45&gt;=สมมติฐาน!$C$17,สมมติฐาน!$C$16,0))*12*E45,0)</f>
        <v>0</v>
      </c>
      <c r="I45" s="14" t="n">
        <f aca="false">G45*สมมติฐาน!$C$21</f>
        <v>0</v>
      </c>
      <c r="J45" s="14" t="n">
        <f aca="false">IF(AND(D45="รับราชการ",A45&lt;=สมมติฐาน!$C$23),สมมติฐาน!$C$22*12*E45,0)</f>
        <v>0</v>
      </c>
      <c r="K45" s="14" t="n">
        <f aca="false">IF(AND(D45="รับราชการ",A45&gt;=สมมติฐาน!$C$27,A45&lt;สมมติฐาน!$C$27+สมมติฐาน!$C$28),สมมติฐาน!$C$25*สมมติฐาน!$C$26*E45,0)</f>
        <v>0</v>
      </c>
      <c r="L45" s="14" t="n">
        <f aca="false">G45*สมมติฐาน!$C$20</f>
        <v>0</v>
      </c>
      <c r="M45" s="19" t="n">
        <f aca="false">IF(D45="รับราชการ",สมมติฐาน!$C$30+IF(AND(A45&gt;=สมมติฐาน!$C$32,A45&lt;=สมมติฐาน!$C$33),สมมติฐาน!$C$31,0),0)</f>
        <v>0</v>
      </c>
      <c r="N45" s="19" t="n">
        <f aca="false">IF(AND(A45&gt;=สมมติฐาน!$C$35,A45&lt;=สมมติฐาน!$C$36),สมมติฐาน!$C$34,0)+IF(D45="รับราชการ",0,สมมติฐาน!$C$37)</f>
        <v>2</v>
      </c>
      <c r="O45" s="21" t="n">
        <f aca="false">(1+สมมติฐาน!$B$43)^(A45-1)*(1+สมมติฐาน!$B$44)^(A45-1)</f>
        <v>4.16114037505152</v>
      </c>
      <c r="P45" s="14" t="n">
        <f aca="false">(M45*สมมติฐาน!$C$38+N45*สมมติฐาน!$C$39)*O45</f>
        <v>208057.018752576</v>
      </c>
      <c r="Q45" s="14" t="n">
        <f aca="false">IF(D45="รับราชการ",0,$AB$6*12*(1+สมมติฐาน!$B$46)^(A45-35-1))</f>
        <v>775907.723867545</v>
      </c>
      <c r="R45" s="14" t="n">
        <f aca="false">IF(C45=สมมติฐาน!$C$8,$AB$7,0)+IF(C45=65,$AB$9,0)+IF(A45=58,$AB$10+$AB$11,0)</f>
        <v>0</v>
      </c>
      <c r="S45" s="14" t="n">
        <f aca="false">G45+H45+I45+J45+K45+L45+P45+Q45+R45</f>
        <v>983964.742620121</v>
      </c>
      <c r="T45" s="14" t="n">
        <f aca="false">S45/E45</f>
        <v>482362.295962778</v>
      </c>
      <c r="U45" s="21" t="n">
        <f aca="false">1/(1+สมมติฐาน!$B$45)^(A45-1)</f>
        <v>0.243668721853164</v>
      </c>
      <c r="V45" s="14" t="n">
        <f aca="false">S45*U45</f>
        <v>239761.431182822</v>
      </c>
    </row>
    <row r="46" customFormat="false" ht="15" hidden="false" customHeight="true" outlineLevel="0" collapsed="false">
      <c r="A46" s="22" t="n">
        <v>38</v>
      </c>
      <c r="B46" s="22" t="n">
        <f aca="false">สมมติฐาน!$B$42+A46-1</f>
        <v>2606</v>
      </c>
      <c r="C46" s="22" t="n">
        <f aca="false">สมมติฐาน!$C$7+A46-1</f>
        <v>62</v>
      </c>
      <c r="D46" s="23" t="str">
        <f aca="false">IF(C46&lt;สมมติฐาน!$C$8,"รับราชการ","รับบำนาญ")</f>
        <v>รับบำนาญ</v>
      </c>
      <c r="E46" s="24" t="n">
        <f aca="false">(1+สมมติฐาน!$B$43)^(A46-1)</f>
        <v>2.08068509059002</v>
      </c>
      <c r="F46" s="25" t="n">
        <f aca="false">IF(D46="รับราชการ",สมมติฐาน!$C$13*(1+สมมติฐาน!$C$15)^(A46-1)*E46,0)</f>
        <v>0</v>
      </c>
      <c r="G46" s="25" t="n">
        <f aca="false">F46*12</f>
        <v>0</v>
      </c>
      <c r="H46" s="25" t="n">
        <f aca="false">IF(D46="รับราชการ",IF(A46&gt;=สมมติฐาน!$C$19,สมมติฐาน!$C$18,IF(A46&gt;=สมมติฐาน!$C$17,สมมติฐาน!$C$16,0))*12*E46,0)</f>
        <v>0</v>
      </c>
      <c r="I46" s="25" t="n">
        <f aca="false">G46*สมมติฐาน!$C$21</f>
        <v>0</v>
      </c>
      <c r="J46" s="25" t="n">
        <f aca="false">IF(AND(D46="รับราชการ",A46&lt;=สมมติฐาน!$C$23),สมมติฐาน!$C$22*12*E46,0)</f>
        <v>0</v>
      </c>
      <c r="K46" s="25" t="n">
        <f aca="false">IF(AND(D46="รับราชการ",A46&gt;=สมมติฐาน!$C$27,A46&lt;สมมติฐาน!$C$27+สมมติฐาน!$C$28),สมมติฐาน!$C$25*สมมติฐาน!$C$26*E46,0)</f>
        <v>0</v>
      </c>
      <c r="L46" s="25" t="n">
        <f aca="false">G46*สมมติฐาน!$C$20</f>
        <v>0</v>
      </c>
      <c r="M46" s="22" t="n">
        <f aca="false">IF(D46="รับราชการ",สมมติฐาน!$C$30+IF(AND(A46&gt;=สมมติฐาน!$C$32,A46&lt;=สมมติฐาน!$C$33),สมมติฐาน!$C$31,0),0)</f>
        <v>0</v>
      </c>
      <c r="N46" s="22" t="n">
        <f aca="false">IF(AND(A46&gt;=สมมติฐาน!$C$35,A46&lt;=สมมติฐาน!$C$36),สมมติฐาน!$C$34,0)+IF(D46="รับราชการ",0,สมมติฐาน!$C$37)</f>
        <v>2</v>
      </c>
      <c r="O46" s="24" t="n">
        <f aca="false">(1+สมมติฐาน!$B$43)^(A46-1)*(1+สมมติฐาน!$B$44)^(A46-1)</f>
        <v>4.3292504462036</v>
      </c>
      <c r="P46" s="25" t="n">
        <f aca="false">(M46*สมมติฐาน!$C$38+N46*สมมติฐาน!$C$39)*O46</f>
        <v>216462.52231018</v>
      </c>
      <c r="Q46" s="25" t="n">
        <f aca="false">IF(D46="รับราชการ",0,$AB$6*12*(1+สมมติฐาน!$B$46)^(A46-35-1))</f>
        <v>775907.723867545</v>
      </c>
      <c r="R46" s="25" t="n">
        <f aca="false">IF(C46=สมมติฐาน!$C$8,$AB$7,0)+IF(C46=65,$AB$9,0)+IF(A46=58,$AB$10+$AB$11,0)</f>
        <v>0</v>
      </c>
      <c r="S46" s="25" t="n">
        <f aca="false">G46+H46+I46+J46+K46+L46+P46+Q46+R46</f>
        <v>992370.246177725</v>
      </c>
      <c r="T46" s="25" t="n">
        <f aca="false">S46/E46</f>
        <v>476943.988624592</v>
      </c>
      <c r="U46" s="24" t="n">
        <f aca="false">1/(1+สมมติฐาน!$B$45)^(A46-1)</f>
        <v>0.234296847935735</v>
      </c>
      <c r="V46" s="25" t="n">
        <f aca="false">S46*U46</f>
        <v>232509.22066465</v>
      </c>
    </row>
    <row r="47" customFormat="false" ht="15" hidden="false" customHeight="true" outlineLevel="0" collapsed="false">
      <c r="A47" s="19" t="n">
        <v>39</v>
      </c>
      <c r="B47" s="19" t="n">
        <f aca="false">สมมติฐาน!$B$42+A47-1</f>
        <v>2607</v>
      </c>
      <c r="C47" s="19" t="n">
        <f aca="false">สมมติฐาน!$C$7+A47-1</f>
        <v>63</v>
      </c>
      <c r="D47" s="20" t="str">
        <f aca="false">IF(C47&lt;สมมติฐาน!$C$8,"รับราชการ","รับบำนาญ")</f>
        <v>รับบำนาญ</v>
      </c>
      <c r="E47" s="21" t="n">
        <f aca="false">(1+สมมติฐาน!$B$43)^(A47-1)</f>
        <v>2.12229879240182</v>
      </c>
      <c r="F47" s="14" t="n">
        <f aca="false">IF(D47="รับราชการ",สมมติฐาน!$C$13*(1+สมมติฐาน!$C$15)^(A47-1)*E47,0)</f>
        <v>0</v>
      </c>
      <c r="G47" s="14" t="n">
        <f aca="false">F47*12</f>
        <v>0</v>
      </c>
      <c r="H47" s="14" t="n">
        <f aca="false">IF(D47="รับราชการ",IF(A47&gt;=สมมติฐาน!$C$19,สมมติฐาน!$C$18,IF(A47&gt;=สมมติฐาน!$C$17,สมมติฐาน!$C$16,0))*12*E47,0)</f>
        <v>0</v>
      </c>
      <c r="I47" s="14" t="n">
        <f aca="false">G47*สมมติฐาน!$C$21</f>
        <v>0</v>
      </c>
      <c r="J47" s="14" t="n">
        <f aca="false">IF(AND(D47="รับราชการ",A47&lt;=สมมติฐาน!$C$23),สมมติฐาน!$C$22*12*E47,0)</f>
        <v>0</v>
      </c>
      <c r="K47" s="14" t="n">
        <f aca="false">IF(AND(D47="รับราชการ",A47&gt;=สมมติฐาน!$C$27,A47&lt;สมมติฐาน!$C$27+สมมติฐาน!$C$28),สมมติฐาน!$C$25*สมมติฐาน!$C$26*E47,0)</f>
        <v>0</v>
      </c>
      <c r="L47" s="14" t="n">
        <f aca="false">G47*สมมติฐาน!$C$20</f>
        <v>0</v>
      </c>
      <c r="M47" s="19" t="n">
        <f aca="false">IF(D47="รับราชการ",สมมติฐาน!$C$30+IF(AND(A47&gt;=สมมติฐาน!$C$32,A47&lt;=สมมติฐาน!$C$33),สมมติฐาน!$C$31,0),0)</f>
        <v>0</v>
      </c>
      <c r="N47" s="19" t="n">
        <f aca="false">IF(AND(A47&gt;=สมมติฐาน!$C$35,A47&lt;=สมมติฐาน!$C$36),สมมติฐาน!$C$34,0)+IF(D47="รับราชการ",0,สมมติฐาน!$C$37)</f>
        <v>2</v>
      </c>
      <c r="O47" s="21" t="n">
        <f aca="false">(1+สมมติฐาน!$B$43)^(A47-1)*(1+สมมติฐาน!$B$44)^(A47-1)</f>
        <v>4.50415216423022</v>
      </c>
      <c r="P47" s="14" t="n">
        <f aca="false">(M47*สมมติฐาน!$C$38+N47*สมมติฐาน!$C$39)*O47</f>
        <v>225207.608211511</v>
      </c>
      <c r="Q47" s="14" t="n">
        <f aca="false">IF(D47="รับราชการ",0,$AB$6*12*(1+สมมติฐาน!$B$46)^(A47-35-1))</f>
        <v>775907.723867545</v>
      </c>
      <c r="R47" s="14" t="n">
        <f aca="false">IF(C47=สมมติฐาน!$C$8,$AB$7,0)+IF(C47=65,$AB$9,0)+IF(A47=58,$AB$10+$AB$11,0)</f>
        <v>0</v>
      </c>
      <c r="S47" s="14" t="n">
        <f aca="false">G47+H47+I47+J47+K47+L47+P47+Q47+R47</f>
        <v>1001115.33207906</v>
      </c>
      <c r="T47" s="14" t="n">
        <f aca="false">S47/E47</f>
        <v>471712.71814469</v>
      </c>
      <c r="U47" s="21" t="n">
        <f aca="false">1/(1+สมมติฐาน!$B$45)^(A47-1)</f>
        <v>0.225285430707437</v>
      </c>
      <c r="V47" s="14" t="n">
        <f aca="false">S47*U47</f>
        <v>225536.698775249</v>
      </c>
    </row>
    <row r="48" customFormat="false" ht="15" hidden="false" customHeight="true" outlineLevel="0" collapsed="false">
      <c r="A48" s="22" t="n">
        <v>40</v>
      </c>
      <c r="B48" s="22" t="n">
        <f aca="false">สมมติฐาน!$B$42+A48-1</f>
        <v>2608</v>
      </c>
      <c r="C48" s="22" t="n">
        <f aca="false">สมมติฐาน!$C$7+A48-1</f>
        <v>64</v>
      </c>
      <c r="D48" s="23" t="str">
        <f aca="false">IF(C48&lt;สมมติฐาน!$C$8,"รับราชการ","รับบำนาญ")</f>
        <v>รับบำนาญ</v>
      </c>
      <c r="E48" s="24" t="n">
        <f aca="false">(1+สมมติฐาน!$B$43)^(A48-1)</f>
        <v>2.16474476824986</v>
      </c>
      <c r="F48" s="25" t="n">
        <f aca="false">IF(D48="รับราชการ",สมมติฐาน!$C$13*(1+สมมติฐาน!$C$15)^(A48-1)*E48,0)</f>
        <v>0</v>
      </c>
      <c r="G48" s="25" t="n">
        <f aca="false">F48*12</f>
        <v>0</v>
      </c>
      <c r="H48" s="25" t="n">
        <f aca="false">IF(D48="รับราชการ",IF(A48&gt;=สมมติฐาน!$C$19,สมมติฐาน!$C$18,IF(A48&gt;=สมมติฐาน!$C$17,สมมติฐาน!$C$16,0))*12*E48,0)</f>
        <v>0</v>
      </c>
      <c r="I48" s="25" t="n">
        <f aca="false">G48*สมมติฐาน!$C$21</f>
        <v>0</v>
      </c>
      <c r="J48" s="25" t="n">
        <f aca="false">IF(AND(D48="รับราชการ",A48&lt;=สมมติฐาน!$C$23),สมมติฐาน!$C$22*12*E48,0)</f>
        <v>0</v>
      </c>
      <c r="K48" s="25" t="n">
        <f aca="false">IF(AND(D48="รับราชการ",A48&gt;=สมมติฐาน!$C$27,A48&lt;สมมติฐาน!$C$27+สมมติฐาน!$C$28),สมมติฐาน!$C$25*สมมติฐาน!$C$26*E48,0)</f>
        <v>0</v>
      </c>
      <c r="L48" s="25" t="n">
        <f aca="false">G48*สมมติฐาน!$C$20</f>
        <v>0</v>
      </c>
      <c r="M48" s="22" t="n">
        <f aca="false">IF(D48="รับราชการ",สมมติฐาน!$C$30+IF(AND(A48&gt;=สมมติฐาน!$C$32,A48&lt;=สมมติฐาน!$C$33),สมมติฐาน!$C$31,0),0)</f>
        <v>0</v>
      </c>
      <c r="N48" s="22" t="n">
        <f aca="false">IF(AND(A48&gt;=สมมติฐาน!$C$35,A48&lt;=สมมติฐาน!$C$36),สมมติฐาน!$C$34,0)+IF(D48="รับราชการ",0,สมมติฐาน!$C$37)</f>
        <v>2</v>
      </c>
      <c r="O48" s="24" t="n">
        <f aca="false">(1+สมมติฐาน!$B$43)^(A48-1)*(1+สมมติฐาน!$B$44)^(A48-1)</f>
        <v>4.68611991166512</v>
      </c>
      <c r="P48" s="25" t="n">
        <f aca="false">(M48*สมมติฐาน!$C$38+N48*สมมติฐาน!$C$39)*O48</f>
        <v>234305.995583256</v>
      </c>
      <c r="Q48" s="25" t="n">
        <f aca="false">IF(D48="รับราชการ",0,$AB$6*12*(1+สมมติฐาน!$B$46)^(A48-35-1))</f>
        <v>775907.723867545</v>
      </c>
      <c r="R48" s="25" t="n">
        <f aca="false">IF(C48=สมมติฐาน!$C$8,$AB$7,0)+IF(C48=65,$AB$9,0)+IF(A48=58,$AB$10+$AB$11,0)</f>
        <v>0</v>
      </c>
      <c r="S48" s="25" t="n">
        <f aca="false">G48+H48+I48+J48+K48+L48+P48+Q48+R48</f>
        <v>1010213.7194508</v>
      </c>
      <c r="T48" s="25" t="n">
        <f aca="false">S48/E48</f>
        <v>466666.433044453</v>
      </c>
      <c r="U48" s="24" t="n">
        <f aca="false">1/(1+สมมติฐาน!$B$45)^(A48-1)</f>
        <v>0.216620606449459</v>
      </c>
      <c r="V48" s="25" t="n">
        <f aca="false">S48*U48</f>
        <v>218833.108550996</v>
      </c>
    </row>
    <row r="49" customFormat="false" ht="15" hidden="false" customHeight="true" outlineLevel="0" collapsed="false">
      <c r="A49" s="19" t="n">
        <v>41</v>
      </c>
      <c r="B49" s="19" t="n">
        <f aca="false">สมมติฐาน!$B$42+A49-1</f>
        <v>2609</v>
      </c>
      <c r="C49" s="19" t="n">
        <f aca="false">สมมติฐาน!$C$7+A49-1</f>
        <v>65</v>
      </c>
      <c r="D49" s="20" t="str">
        <f aca="false">IF(C49&lt;สมมติฐาน!$C$8,"รับราชการ","รับบำนาญ")</f>
        <v>รับบำนาญ</v>
      </c>
      <c r="E49" s="21" t="n">
        <f aca="false">(1+สมมติฐาน!$B$43)^(A49-1)</f>
        <v>2.20803966361485</v>
      </c>
      <c r="F49" s="14" t="n">
        <f aca="false">IF(D49="รับราชการ",สมมติฐาน!$C$13*(1+สมมติฐาน!$C$15)^(A49-1)*E49,0)</f>
        <v>0</v>
      </c>
      <c r="G49" s="14" t="n">
        <f aca="false">F49*12</f>
        <v>0</v>
      </c>
      <c r="H49" s="14" t="n">
        <f aca="false">IF(D49="รับราชการ",IF(A49&gt;=สมมติฐาน!$C$19,สมมติฐาน!$C$18,IF(A49&gt;=สมมติฐาน!$C$17,สมมติฐาน!$C$16,0))*12*E49,0)</f>
        <v>0</v>
      </c>
      <c r="I49" s="14" t="n">
        <f aca="false">G49*สมมติฐาน!$C$21</f>
        <v>0</v>
      </c>
      <c r="J49" s="14" t="n">
        <f aca="false">IF(AND(D49="รับราชการ",A49&lt;=สมมติฐาน!$C$23),สมมติฐาน!$C$22*12*E49,0)</f>
        <v>0</v>
      </c>
      <c r="K49" s="14" t="n">
        <f aca="false">IF(AND(D49="รับราชการ",A49&gt;=สมมติฐาน!$C$27,A49&lt;สมมติฐาน!$C$27+สมมติฐาน!$C$28),สมมติฐาน!$C$25*สมมติฐาน!$C$26*E49,0)</f>
        <v>0</v>
      </c>
      <c r="L49" s="14" t="n">
        <f aca="false">G49*สมมติฐาน!$C$20</f>
        <v>0</v>
      </c>
      <c r="M49" s="19" t="n">
        <f aca="false">IF(D49="รับราชการ",สมมติฐาน!$C$30+IF(AND(A49&gt;=สมมติฐาน!$C$32,A49&lt;=สมมติฐาน!$C$33),สมมติฐาน!$C$31,0),0)</f>
        <v>0</v>
      </c>
      <c r="N49" s="19" t="n">
        <f aca="false">IF(AND(A49&gt;=สมมติฐาน!$C$35,A49&lt;=สมมติฐาน!$C$36),สมมติฐาน!$C$34,0)+IF(D49="รับราชการ",0,สมมติฐาน!$C$37)</f>
        <v>2</v>
      </c>
      <c r="O49" s="21" t="n">
        <f aca="false">(1+สมมติฐาน!$B$43)^(A49-1)*(1+สมมติฐาน!$B$44)^(A49-1)</f>
        <v>4.8754391560964</v>
      </c>
      <c r="P49" s="14" t="n">
        <f aca="false">(M49*สมมติฐาน!$C$38+N49*สมมติฐาน!$C$39)*O49</f>
        <v>243771.95780482</v>
      </c>
      <c r="Q49" s="14" t="n">
        <f aca="false">IF(D49="รับราชการ",0,$AB$6*12*(1+สมมติฐาน!$B$46)^(A49-35-1))</f>
        <v>775907.723867545</v>
      </c>
      <c r="R49" s="14" t="n">
        <f aca="false">IF(C49=สมมติฐาน!$C$8,$AB$7,0)+IF(C49=65,$AB$9,0)+IF(A49=58,$AB$10+$AB$11,0)</f>
        <v>300000</v>
      </c>
      <c r="S49" s="14" t="n">
        <f aca="false">G49+H49+I49+J49+K49+L49+P49+Q49+R49</f>
        <v>1319679.68167236</v>
      </c>
      <c r="T49" s="14" t="n">
        <f aca="false">S49/E49</f>
        <v>597670.278944117</v>
      </c>
      <c r="U49" s="21" t="n">
        <f aca="false">1/(1+สมมติฐาน!$B$45)^(A49-1)</f>
        <v>0.208289044662941</v>
      </c>
      <c r="V49" s="14" t="n">
        <f aca="false">S49*U49</f>
        <v>274874.820156631</v>
      </c>
    </row>
    <row r="50" customFormat="false" ht="15" hidden="false" customHeight="true" outlineLevel="0" collapsed="false">
      <c r="A50" s="22" t="n">
        <v>42</v>
      </c>
      <c r="B50" s="22" t="n">
        <f aca="false">สมมติฐาน!$B$42+A50-1</f>
        <v>2610</v>
      </c>
      <c r="C50" s="22" t="n">
        <f aca="false">สมมติฐาน!$C$7+A50-1</f>
        <v>66</v>
      </c>
      <c r="D50" s="23" t="str">
        <f aca="false">IF(C50&lt;สมมติฐาน!$C$8,"รับราชการ","รับบำนาญ")</f>
        <v>รับบำนาญ</v>
      </c>
      <c r="E50" s="24" t="n">
        <f aca="false">(1+สมมติฐาน!$B$43)^(A50-1)</f>
        <v>2.25220045688715</v>
      </c>
      <c r="F50" s="25" t="n">
        <f aca="false">IF(D50="รับราชการ",สมมติฐาน!$C$13*(1+สมมติฐาน!$C$15)^(A50-1)*E50,0)</f>
        <v>0</v>
      </c>
      <c r="G50" s="25" t="n">
        <f aca="false">F50*12</f>
        <v>0</v>
      </c>
      <c r="H50" s="25" t="n">
        <f aca="false">IF(D50="รับราชการ",IF(A50&gt;=สมมติฐาน!$C$19,สมมติฐาน!$C$18,IF(A50&gt;=สมมติฐาน!$C$17,สมมติฐาน!$C$16,0))*12*E50,0)</f>
        <v>0</v>
      </c>
      <c r="I50" s="25" t="n">
        <f aca="false">G50*สมมติฐาน!$C$21</f>
        <v>0</v>
      </c>
      <c r="J50" s="25" t="n">
        <f aca="false">IF(AND(D50="รับราชการ",A50&lt;=สมมติฐาน!$C$23),สมมติฐาน!$C$22*12*E50,0)</f>
        <v>0</v>
      </c>
      <c r="K50" s="25" t="n">
        <f aca="false">IF(AND(D50="รับราชการ",A50&gt;=สมมติฐาน!$C$27,A50&lt;สมมติฐาน!$C$27+สมมติฐาน!$C$28),สมมติฐาน!$C$25*สมมติฐาน!$C$26*E50,0)</f>
        <v>0</v>
      </c>
      <c r="L50" s="25" t="n">
        <f aca="false">G50*สมมติฐาน!$C$20</f>
        <v>0</v>
      </c>
      <c r="M50" s="22" t="n">
        <f aca="false">IF(D50="รับราชการ",สมมติฐาน!$C$30+IF(AND(A50&gt;=สมมติฐาน!$C$32,A50&lt;=สมมติฐาน!$C$33),สมมติฐาน!$C$31,0),0)</f>
        <v>0</v>
      </c>
      <c r="N50" s="22" t="n">
        <f aca="false">IF(AND(A50&gt;=สมมติฐาน!$C$35,A50&lt;=สมมติฐาน!$C$36),สมมติฐาน!$C$34,0)+IF(D50="รับราชการ",0,สมมติฐาน!$C$37)</f>
        <v>2</v>
      </c>
      <c r="O50" s="24" t="n">
        <f aca="false">(1+สมมติฐาน!$B$43)^(A50-1)*(1+สมมติฐาน!$B$44)^(A50-1)</f>
        <v>5.07240689800269</v>
      </c>
      <c r="P50" s="25" t="n">
        <f aca="false">(M50*สมมติฐาน!$C$38+N50*สมมติฐาน!$C$39)*O50</f>
        <v>253620.344900135</v>
      </c>
      <c r="Q50" s="25" t="n">
        <f aca="false">IF(D50="รับราชการ",0,$AB$6*12*(1+สมมติฐาน!$B$46)^(A50-35-1))</f>
        <v>775907.723867545</v>
      </c>
      <c r="R50" s="25" t="n">
        <f aca="false">IF(C50=สมมติฐาน!$C$8,$AB$7,0)+IF(C50=65,$AB$9,0)+IF(A50=58,$AB$10+$AB$11,0)</f>
        <v>0</v>
      </c>
      <c r="S50" s="25" t="n">
        <f aca="false">G50+H50+I50+J50+K50+L50+P50+Q50+R50</f>
        <v>1029528.06876768</v>
      </c>
      <c r="T50" s="25" t="n">
        <f aca="false">S50/E50</f>
        <v>457120.975008871</v>
      </c>
      <c r="U50" s="24" t="n">
        <f aca="false">1/(1+สมมติฐาน!$B$45)^(A50-1)</f>
        <v>0.20027792756052</v>
      </c>
      <c r="V50" s="25" t="n">
        <f aca="false">S50*U50</f>
        <v>206191.747978176</v>
      </c>
    </row>
    <row r="51" customFormat="false" ht="15" hidden="false" customHeight="true" outlineLevel="0" collapsed="false">
      <c r="A51" s="19" t="n">
        <v>43</v>
      </c>
      <c r="B51" s="19" t="n">
        <f aca="false">สมมติฐาน!$B$42+A51-1</f>
        <v>2611</v>
      </c>
      <c r="C51" s="19" t="n">
        <f aca="false">สมมติฐาน!$C$7+A51-1</f>
        <v>67</v>
      </c>
      <c r="D51" s="20" t="str">
        <f aca="false">IF(C51&lt;สมมติฐาน!$C$8,"รับราชการ","รับบำนาญ")</f>
        <v>รับบำนาญ</v>
      </c>
      <c r="E51" s="21" t="n">
        <f aca="false">(1+สมมติฐาน!$B$43)^(A51-1)</f>
        <v>2.29724446602489</v>
      </c>
      <c r="F51" s="14" t="n">
        <f aca="false">IF(D51="รับราชการ",สมมติฐาน!$C$13*(1+สมมติฐาน!$C$15)^(A51-1)*E51,0)</f>
        <v>0</v>
      </c>
      <c r="G51" s="14" t="n">
        <f aca="false">F51*12</f>
        <v>0</v>
      </c>
      <c r="H51" s="14" t="n">
        <f aca="false">IF(D51="รับราชการ",IF(A51&gt;=สมมติฐาน!$C$19,สมมติฐาน!$C$18,IF(A51&gt;=สมมติฐาน!$C$17,สมมติฐาน!$C$16,0))*12*E51,0)</f>
        <v>0</v>
      </c>
      <c r="I51" s="14" t="n">
        <f aca="false">G51*สมมติฐาน!$C$21</f>
        <v>0</v>
      </c>
      <c r="J51" s="14" t="n">
        <f aca="false">IF(AND(D51="รับราชการ",A51&lt;=สมมติฐาน!$C$23),สมมติฐาน!$C$22*12*E51,0)</f>
        <v>0</v>
      </c>
      <c r="K51" s="14" t="n">
        <f aca="false">IF(AND(D51="รับราชการ",A51&gt;=สมมติฐาน!$C$27,A51&lt;สมมติฐาน!$C$27+สมมติฐาน!$C$28),สมมติฐาน!$C$25*สมมติฐาน!$C$26*E51,0)</f>
        <v>0</v>
      </c>
      <c r="L51" s="14" t="n">
        <f aca="false">G51*สมมติฐาน!$C$20</f>
        <v>0</v>
      </c>
      <c r="M51" s="19" t="n">
        <f aca="false">IF(D51="รับราชการ",สมมติฐาน!$C$30+IF(AND(A51&gt;=สมมติฐาน!$C$32,A51&lt;=สมมติฐาน!$C$33),สมมติฐาน!$C$31,0),0)</f>
        <v>0</v>
      </c>
      <c r="N51" s="19" t="n">
        <f aca="false">IF(AND(A51&gt;=สมมติฐาน!$C$35,A51&lt;=สมมติฐาน!$C$36),สมมติฐาน!$C$34,0)+IF(D51="รับราชการ",0,สมมติฐาน!$C$37)</f>
        <v>2</v>
      </c>
      <c r="O51" s="21" t="n">
        <f aca="false">(1+สมมติฐาน!$B$43)^(A51-1)*(1+สมมติฐาน!$B$44)^(A51-1)</f>
        <v>5.277332136682</v>
      </c>
      <c r="P51" s="14" t="n">
        <f aca="false">(M51*สมมติฐาน!$C$38+N51*สมมติฐาน!$C$39)*O51</f>
        <v>263866.6068341</v>
      </c>
      <c r="Q51" s="14" t="n">
        <f aca="false">IF(D51="รับราชการ",0,$AB$6*12*(1+สมมติฐาน!$B$46)^(A51-35-1))</f>
        <v>775907.723867545</v>
      </c>
      <c r="R51" s="14" t="n">
        <f aca="false">IF(C51=สมมติฐาน!$C$8,$AB$7,0)+IF(C51=65,$AB$9,0)+IF(A51=58,$AB$10+$AB$11,0)</f>
        <v>0</v>
      </c>
      <c r="S51" s="14" t="n">
        <f aca="false">G51+H51+I51+J51+K51+L51+P51+Q51+R51</f>
        <v>1039774.33070164</v>
      </c>
      <c r="T51" s="14" t="n">
        <f aca="false">S51/E51</f>
        <v>452618.05875665</v>
      </c>
      <c r="U51" s="21" t="n">
        <f aca="false">1/(1+สมมติฐาน!$B$45)^(A51-1)</f>
        <v>0.192574930346654</v>
      </c>
      <c r="V51" s="14" t="n">
        <f aca="false">S51*U51</f>
        <v>200234.469311108</v>
      </c>
    </row>
    <row r="52" customFormat="false" ht="15" hidden="false" customHeight="true" outlineLevel="0" collapsed="false">
      <c r="A52" s="22" t="n">
        <v>44</v>
      </c>
      <c r="B52" s="22" t="n">
        <f aca="false">สมมติฐาน!$B$42+A52-1</f>
        <v>2612</v>
      </c>
      <c r="C52" s="22" t="n">
        <f aca="false">สมมติฐาน!$C$7+A52-1</f>
        <v>68</v>
      </c>
      <c r="D52" s="23" t="str">
        <f aca="false">IF(C52&lt;สมมติฐาน!$C$8,"รับราชการ","รับบำนาญ")</f>
        <v>รับบำนาญ</v>
      </c>
      <c r="E52" s="24" t="n">
        <f aca="false">(1+สมมติฐาน!$B$43)^(A52-1)</f>
        <v>2.34318935534539</v>
      </c>
      <c r="F52" s="25" t="n">
        <f aca="false">IF(D52="รับราชการ",สมมติฐาน!$C$13*(1+สมมติฐาน!$C$15)^(A52-1)*E52,0)</f>
        <v>0</v>
      </c>
      <c r="G52" s="25" t="n">
        <f aca="false">F52*12</f>
        <v>0</v>
      </c>
      <c r="H52" s="25" t="n">
        <f aca="false">IF(D52="รับราชการ",IF(A52&gt;=สมมติฐาน!$C$19,สมมติฐาน!$C$18,IF(A52&gt;=สมมติฐาน!$C$17,สมมติฐาน!$C$16,0))*12*E52,0)</f>
        <v>0</v>
      </c>
      <c r="I52" s="25" t="n">
        <f aca="false">G52*สมมติฐาน!$C$21</f>
        <v>0</v>
      </c>
      <c r="J52" s="25" t="n">
        <f aca="false">IF(AND(D52="รับราชการ",A52&lt;=สมมติฐาน!$C$23),สมมติฐาน!$C$22*12*E52,0)</f>
        <v>0</v>
      </c>
      <c r="K52" s="25" t="n">
        <f aca="false">IF(AND(D52="รับราชการ",A52&gt;=สมมติฐาน!$C$27,A52&lt;สมมติฐาน!$C$27+สมมติฐาน!$C$28),สมมติฐาน!$C$25*สมมติฐาน!$C$26*E52,0)</f>
        <v>0</v>
      </c>
      <c r="L52" s="25" t="n">
        <f aca="false">G52*สมมติฐาน!$C$20</f>
        <v>0</v>
      </c>
      <c r="M52" s="22" t="n">
        <f aca="false">IF(D52="รับราชการ",สมมติฐาน!$C$30+IF(AND(A52&gt;=สมมติฐาน!$C$32,A52&lt;=สมมติฐาน!$C$33),สมมติฐาน!$C$31,0),0)</f>
        <v>0</v>
      </c>
      <c r="N52" s="22" t="n">
        <f aca="false">IF(AND(A52&gt;=สมมติฐาน!$C$35,A52&lt;=สมมติฐาน!$C$36),สมมติฐาน!$C$34,0)+IF(D52="รับราชการ",0,สมมติฐาน!$C$37)</f>
        <v>2</v>
      </c>
      <c r="O52" s="24" t="n">
        <f aca="false">(1+สมมติฐาน!$B$43)^(A52-1)*(1+สมมติฐาน!$B$44)^(A52-1)</f>
        <v>5.49053635500395</v>
      </c>
      <c r="P52" s="25" t="n">
        <f aca="false">(M52*สมมติฐาน!$C$38+N52*สมมติฐาน!$C$39)*O52</f>
        <v>274526.817750198</v>
      </c>
      <c r="Q52" s="25" t="n">
        <f aca="false">IF(D52="รับราชการ",0,$AB$6*12*(1+สมมติฐาน!$B$46)^(A52-35-1))</f>
        <v>775907.723867545</v>
      </c>
      <c r="R52" s="25" t="n">
        <f aca="false">IF(C52=สมมติฐาน!$C$8,$AB$7,0)+IF(C52=65,$AB$9,0)+IF(A52=58,$AB$10+$AB$11,0)</f>
        <v>0</v>
      </c>
      <c r="S52" s="25" t="n">
        <f aca="false">G52+H52+I52+J52+K52+L52+P52+Q52+R52</f>
        <v>1050434.54161774</v>
      </c>
      <c r="T52" s="25" t="n">
        <f aca="false">S52/E52</f>
        <v>448292.639782373</v>
      </c>
      <c r="U52" s="24" t="n">
        <f aca="false">1/(1+สมมติฐาน!$B$45)^(A52-1)</f>
        <v>0.185168202256398</v>
      </c>
      <c r="V52" s="25" t="n">
        <f aca="false">S52*U52</f>
        <v>194507.075659381</v>
      </c>
    </row>
    <row r="53" customFormat="false" ht="15" hidden="false" customHeight="true" outlineLevel="0" collapsed="false">
      <c r="A53" s="19" t="n">
        <v>45</v>
      </c>
      <c r="B53" s="19" t="n">
        <f aca="false">สมมติฐาน!$B$42+A53-1</f>
        <v>2613</v>
      </c>
      <c r="C53" s="19" t="n">
        <f aca="false">สมมติฐาน!$C$7+A53-1</f>
        <v>69</v>
      </c>
      <c r="D53" s="20" t="str">
        <f aca="false">IF(C53&lt;สมมติฐาน!$C$8,"รับราชการ","รับบำนาญ")</f>
        <v>รับบำนาญ</v>
      </c>
      <c r="E53" s="21" t="n">
        <f aca="false">(1+สมมติฐาน!$B$43)^(A53-1)</f>
        <v>2.3900531424523</v>
      </c>
      <c r="F53" s="14" t="n">
        <f aca="false">IF(D53="รับราชการ",สมมติฐาน!$C$13*(1+สมมติฐาน!$C$15)^(A53-1)*E53,0)</f>
        <v>0</v>
      </c>
      <c r="G53" s="14" t="n">
        <f aca="false">F53*12</f>
        <v>0</v>
      </c>
      <c r="H53" s="14" t="n">
        <f aca="false">IF(D53="รับราชการ",IF(A53&gt;=สมมติฐาน!$C$19,สมมติฐาน!$C$18,IF(A53&gt;=สมมติฐาน!$C$17,สมมติฐาน!$C$16,0))*12*E53,0)</f>
        <v>0</v>
      </c>
      <c r="I53" s="14" t="n">
        <f aca="false">G53*สมมติฐาน!$C$21</f>
        <v>0</v>
      </c>
      <c r="J53" s="14" t="n">
        <f aca="false">IF(AND(D53="รับราชการ",A53&lt;=สมมติฐาน!$C$23),สมมติฐาน!$C$22*12*E53,0)</f>
        <v>0</v>
      </c>
      <c r="K53" s="14" t="n">
        <f aca="false">IF(AND(D53="รับราชการ",A53&gt;=สมมติฐาน!$C$27,A53&lt;สมมติฐาน!$C$27+สมมติฐาน!$C$28),สมมติฐาน!$C$25*สมมติฐาน!$C$26*E53,0)</f>
        <v>0</v>
      </c>
      <c r="L53" s="14" t="n">
        <f aca="false">G53*สมมติฐาน!$C$20</f>
        <v>0</v>
      </c>
      <c r="M53" s="19" t="n">
        <f aca="false">IF(D53="รับราชการ",สมมติฐาน!$C$30+IF(AND(A53&gt;=สมมติฐาน!$C$32,A53&lt;=สมมติฐาน!$C$33),สมมติฐาน!$C$31,0),0)</f>
        <v>0</v>
      </c>
      <c r="N53" s="19" t="n">
        <f aca="false">IF(AND(A53&gt;=สมมติฐาน!$C$35,A53&lt;=สมมติฐาน!$C$36),สมมติฐาน!$C$34,0)+IF(D53="รับราชการ",0,สมมติฐาน!$C$37)</f>
        <v>2</v>
      </c>
      <c r="O53" s="21" t="n">
        <f aca="false">(1+สมมติฐาน!$B$43)^(A53-1)*(1+สมมติฐาน!$B$44)^(A53-1)</f>
        <v>5.71235402374611</v>
      </c>
      <c r="P53" s="14" t="n">
        <f aca="false">(M53*สมมติฐาน!$C$38+N53*สมมติฐาน!$C$39)*O53</f>
        <v>285617.701187306</v>
      </c>
      <c r="Q53" s="14" t="n">
        <f aca="false">IF(D53="รับราชการ",0,$AB$6*12*(1+สมมติฐาน!$B$46)^(A53-35-1))</f>
        <v>775907.723867545</v>
      </c>
      <c r="R53" s="14" t="n">
        <f aca="false">IF(C53=สมมติฐาน!$C$8,$AB$7,0)+IF(C53=65,$AB$9,0)+IF(A53=58,$AB$10+$AB$11,0)</f>
        <v>0</v>
      </c>
      <c r="S53" s="14" t="n">
        <f aca="false">G53+H53+I53+J53+K53+L53+P53+Q53+R53</f>
        <v>1061525.42505485</v>
      </c>
      <c r="T53" s="14" t="n">
        <f aca="false">S53/E53</f>
        <v>444143.021843305</v>
      </c>
      <c r="U53" s="21" t="n">
        <f aca="false">1/(1+สมมติฐาน!$B$45)^(A53-1)</f>
        <v>0.17804634832346</v>
      </c>
      <c r="V53" s="14" t="n">
        <f aca="false">S53*U53</f>
        <v>189000.725583525</v>
      </c>
    </row>
    <row r="54" customFormat="false" ht="15" hidden="false" customHeight="true" outlineLevel="0" collapsed="false">
      <c r="A54" s="22" t="n">
        <v>46</v>
      </c>
      <c r="B54" s="22" t="n">
        <f aca="false">สมมติฐาน!$B$42+A54-1</f>
        <v>2614</v>
      </c>
      <c r="C54" s="22" t="n">
        <f aca="false">สมมติฐาน!$C$7+A54-1</f>
        <v>70</v>
      </c>
      <c r="D54" s="23" t="str">
        <f aca="false">IF(C54&lt;สมมติฐาน!$C$8,"รับราชการ","รับบำนาญ")</f>
        <v>รับบำนาญ</v>
      </c>
      <c r="E54" s="24" t="n">
        <f aca="false">(1+สมมติฐาน!$B$43)^(A54-1)</f>
        <v>2.43785420530135</v>
      </c>
      <c r="F54" s="25" t="n">
        <f aca="false">IF(D54="รับราชการ",สมมติฐาน!$C$13*(1+สมมติฐาน!$C$15)^(A54-1)*E54,0)</f>
        <v>0</v>
      </c>
      <c r="G54" s="25" t="n">
        <f aca="false">F54*12</f>
        <v>0</v>
      </c>
      <c r="H54" s="25" t="n">
        <f aca="false">IF(D54="รับราชการ",IF(A54&gt;=สมมติฐาน!$C$19,สมมติฐาน!$C$18,IF(A54&gt;=สมมติฐาน!$C$17,สมมติฐาน!$C$16,0))*12*E54,0)</f>
        <v>0</v>
      </c>
      <c r="I54" s="25" t="n">
        <f aca="false">G54*สมมติฐาน!$C$21</f>
        <v>0</v>
      </c>
      <c r="J54" s="25" t="n">
        <f aca="false">IF(AND(D54="รับราชการ",A54&lt;=สมมติฐาน!$C$23),สมมติฐาน!$C$22*12*E54,0)</f>
        <v>0</v>
      </c>
      <c r="K54" s="25" t="n">
        <f aca="false">IF(AND(D54="รับราชการ",A54&gt;=สมมติฐาน!$C$27,A54&lt;สมมติฐาน!$C$27+สมมติฐาน!$C$28),สมมติฐาน!$C$25*สมมติฐาน!$C$26*E54,0)</f>
        <v>0</v>
      </c>
      <c r="L54" s="25" t="n">
        <f aca="false">G54*สมมติฐาน!$C$20</f>
        <v>0</v>
      </c>
      <c r="M54" s="22" t="n">
        <f aca="false">IF(D54="รับราชการ",สมมติฐาน!$C$30+IF(AND(A54&gt;=สมมติฐาน!$C$32,A54&lt;=สมมติฐาน!$C$33),สมมติฐาน!$C$31,0),0)</f>
        <v>0</v>
      </c>
      <c r="N54" s="22" t="n">
        <f aca="false">IF(AND(A54&gt;=สมมติฐาน!$C$35,A54&lt;=สมมติฐาน!$C$36),สมมติฐาน!$C$34,0)+IF(D54="รับราชการ",0,สมมติฐาน!$C$37)</f>
        <v>2</v>
      </c>
      <c r="O54" s="24" t="n">
        <f aca="false">(1+สมมติฐาน!$B$43)^(A54-1)*(1+สมมติฐาน!$B$44)^(A54-1)</f>
        <v>5.94313312630546</v>
      </c>
      <c r="P54" s="25" t="n">
        <f aca="false">(M54*สมมติฐาน!$C$38+N54*สมมติฐาน!$C$39)*O54</f>
        <v>297156.656315273</v>
      </c>
      <c r="Q54" s="25" t="n">
        <f aca="false">IF(D54="รับราชการ",0,$AB$6*12*(1+สมมติฐาน!$B$46)^(A54-35-1))</f>
        <v>775907.723867545</v>
      </c>
      <c r="R54" s="25" t="n">
        <f aca="false">IF(C54=สมมติฐาน!$C$8,$AB$7,0)+IF(C54=65,$AB$9,0)+IF(A54=58,$AB$10+$AB$11,0)</f>
        <v>0</v>
      </c>
      <c r="S54" s="25" t="n">
        <f aca="false">G54+H54+I54+J54+K54+L54+P54+Q54+R54</f>
        <v>1073064.38018282</v>
      </c>
      <c r="T54" s="25" t="n">
        <f aca="false">S54/E54</f>
        <v>440167.577638292</v>
      </c>
      <c r="U54" s="24" t="n">
        <f aca="false">1/(1+สมมติฐาน!$B$45)^(A54-1)</f>
        <v>0.171198411849481</v>
      </c>
      <c r="V54" s="25" t="n">
        <f aca="false">S54*U54</f>
        <v>183706.917699546</v>
      </c>
    </row>
    <row r="55" customFormat="false" ht="15" hidden="false" customHeight="true" outlineLevel="0" collapsed="false">
      <c r="A55" s="19" t="n">
        <v>47</v>
      </c>
      <c r="B55" s="19" t="n">
        <f aca="false">สมมติฐาน!$B$42+A55-1</f>
        <v>2615</v>
      </c>
      <c r="C55" s="19" t="n">
        <f aca="false">สมมติฐาน!$C$7+A55-1</f>
        <v>71</v>
      </c>
      <c r="D55" s="20" t="str">
        <f aca="false">IF(C55&lt;สมมติฐาน!$C$8,"รับราชการ","รับบำนาญ")</f>
        <v>รับบำนาญ</v>
      </c>
      <c r="E55" s="21" t="n">
        <f aca="false">(1+สมมติฐาน!$B$43)^(A55-1)</f>
        <v>2.48661128940737</v>
      </c>
      <c r="F55" s="14" t="n">
        <f aca="false">IF(D55="รับราชการ",สมมติฐาน!$C$13*(1+สมมติฐาน!$C$15)^(A55-1)*E55,0)</f>
        <v>0</v>
      </c>
      <c r="G55" s="14" t="n">
        <f aca="false">F55*12</f>
        <v>0</v>
      </c>
      <c r="H55" s="14" t="n">
        <f aca="false">IF(D55="รับราชการ",IF(A55&gt;=สมมติฐาน!$C$19,สมมติฐาน!$C$18,IF(A55&gt;=สมมติฐาน!$C$17,สมมติฐาน!$C$16,0))*12*E55,0)</f>
        <v>0</v>
      </c>
      <c r="I55" s="14" t="n">
        <f aca="false">G55*สมมติฐาน!$C$21</f>
        <v>0</v>
      </c>
      <c r="J55" s="14" t="n">
        <f aca="false">IF(AND(D55="รับราชการ",A55&lt;=สมมติฐาน!$C$23),สมมติฐาน!$C$22*12*E55,0)</f>
        <v>0</v>
      </c>
      <c r="K55" s="14" t="n">
        <f aca="false">IF(AND(D55="รับราชการ",A55&gt;=สมมติฐาน!$C$27,A55&lt;สมมติฐาน!$C$27+สมมติฐาน!$C$28),สมมติฐาน!$C$25*สมมติฐาน!$C$26*E55,0)</f>
        <v>0</v>
      </c>
      <c r="L55" s="14" t="n">
        <f aca="false">G55*สมมติฐาน!$C$20</f>
        <v>0</v>
      </c>
      <c r="M55" s="19" t="n">
        <f aca="false">IF(D55="รับราชการ",สมมติฐาน!$C$30+IF(AND(A55&gt;=สมมติฐาน!$C$32,A55&lt;=สมมติฐาน!$C$33),สมมติฐาน!$C$31,0),0)</f>
        <v>0</v>
      </c>
      <c r="N55" s="19" t="n">
        <f aca="false">IF(AND(A55&gt;=สมมติฐาน!$C$35,A55&lt;=สมมติฐาน!$C$36),สมมติฐาน!$C$34,0)+IF(D55="รับราชการ",0,สมมติฐาน!$C$37)</f>
        <v>2</v>
      </c>
      <c r="O55" s="21" t="n">
        <f aca="false">(1+สมมติฐาน!$B$43)^(A55-1)*(1+สมมติฐาน!$B$44)^(A55-1)</f>
        <v>6.1832357046082</v>
      </c>
      <c r="P55" s="14" t="n">
        <f aca="false">(M55*สมมติฐาน!$C$38+N55*สมมติฐาน!$C$39)*O55</f>
        <v>309161.78523041</v>
      </c>
      <c r="Q55" s="14" t="n">
        <f aca="false">IF(D55="รับราชการ",0,$AB$6*12*(1+สมมติฐาน!$B$46)^(A55-35-1))</f>
        <v>775907.723867545</v>
      </c>
      <c r="R55" s="14" t="n">
        <f aca="false">IF(C55=สมมติฐาน!$C$8,$AB$7,0)+IF(C55=65,$AB$9,0)+IF(A55=58,$AB$10+$AB$11,0)</f>
        <v>0</v>
      </c>
      <c r="S55" s="14" t="n">
        <f aca="false">G55+H55+I55+J55+K55+L55+P55+Q55+R55</f>
        <v>1085069.50909795</v>
      </c>
      <c r="T55" s="14" t="n">
        <f aca="false">S55/E55</f>
        <v>436364.748169609</v>
      </c>
      <c r="U55" s="21" t="n">
        <f aca="false">1/(1+สมมติฐาน!$B$45)^(A55-1)</f>
        <v>0.164613857547577</v>
      </c>
      <c r="V55" s="14" t="n">
        <f aca="false">S55*U55</f>
        <v>178617.47759987</v>
      </c>
    </row>
    <row r="56" customFormat="false" ht="15" hidden="false" customHeight="true" outlineLevel="0" collapsed="false">
      <c r="A56" s="22" t="n">
        <v>48</v>
      </c>
      <c r="B56" s="22" t="n">
        <f aca="false">สมมติฐาน!$B$42+A56-1</f>
        <v>2616</v>
      </c>
      <c r="C56" s="22" t="n">
        <f aca="false">สมมติฐาน!$C$7+A56-1</f>
        <v>72</v>
      </c>
      <c r="D56" s="23" t="str">
        <f aca="false">IF(C56&lt;สมมติฐาน!$C$8,"รับราชการ","รับบำนาญ")</f>
        <v>รับบำนาญ</v>
      </c>
      <c r="E56" s="24" t="n">
        <f aca="false">(1+สมมติฐาน!$B$43)^(A56-1)</f>
        <v>2.53634351519552</v>
      </c>
      <c r="F56" s="25" t="n">
        <f aca="false">IF(D56="รับราชการ",สมมติฐาน!$C$13*(1+สมมติฐาน!$C$15)^(A56-1)*E56,0)</f>
        <v>0</v>
      </c>
      <c r="G56" s="25" t="n">
        <f aca="false">F56*12</f>
        <v>0</v>
      </c>
      <c r="H56" s="25" t="n">
        <f aca="false">IF(D56="รับราชการ",IF(A56&gt;=สมมติฐาน!$C$19,สมมติฐาน!$C$18,IF(A56&gt;=สมมติฐาน!$C$17,สมมติฐาน!$C$16,0))*12*E56,0)</f>
        <v>0</v>
      </c>
      <c r="I56" s="25" t="n">
        <f aca="false">G56*สมมติฐาน!$C$21</f>
        <v>0</v>
      </c>
      <c r="J56" s="25" t="n">
        <f aca="false">IF(AND(D56="รับราชการ",A56&lt;=สมมติฐาน!$C$23),สมมติฐาน!$C$22*12*E56,0)</f>
        <v>0</v>
      </c>
      <c r="K56" s="25" t="n">
        <f aca="false">IF(AND(D56="รับราชการ",A56&gt;=สมมติฐาน!$C$27,A56&lt;สมมติฐาน!$C$27+สมมติฐาน!$C$28),สมมติฐาน!$C$25*สมมติฐาน!$C$26*E56,0)</f>
        <v>0</v>
      </c>
      <c r="L56" s="25" t="n">
        <f aca="false">G56*สมมติฐาน!$C$20</f>
        <v>0</v>
      </c>
      <c r="M56" s="22" t="n">
        <f aca="false">IF(D56="รับราชการ",สมมติฐาน!$C$30+IF(AND(A56&gt;=สมมติฐาน!$C$32,A56&lt;=สมมติฐาน!$C$33),สมมติฐาน!$C$31,0),0)</f>
        <v>0</v>
      </c>
      <c r="N56" s="22" t="n">
        <f aca="false">IF(AND(A56&gt;=สมมติฐาน!$C$35,A56&lt;=สมมติฐาน!$C$36),สมมติฐาน!$C$34,0)+IF(D56="รับราชการ",0,สมมติฐาน!$C$37)</f>
        <v>2</v>
      </c>
      <c r="O56" s="24" t="n">
        <f aca="false">(1+สมมติฐาน!$B$43)^(A56-1)*(1+สมมติฐาน!$B$44)^(A56-1)</f>
        <v>6.43303842707437</v>
      </c>
      <c r="P56" s="25" t="n">
        <f aca="false">(M56*สมมติฐาน!$C$38+N56*สมมติฐาน!$C$39)*O56</f>
        <v>321651.921353718</v>
      </c>
      <c r="Q56" s="25" t="n">
        <f aca="false">IF(D56="รับราชการ",0,$AB$6*12*(1+สมมติฐาน!$B$46)^(A56-35-1))</f>
        <v>775907.723867545</v>
      </c>
      <c r="R56" s="25" t="n">
        <f aca="false">IF(C56=สมมติฐาน!$C$8,$AB$7,0)+IF(C56=65,$AB$9,0)+IF(A56=58,$AB$10+$AB$11,0)</f>
        <v>0</v>
      </c>
      <c r="S56" s="25" t="n">
        <f aca="false">G56+H56+I56+J56+K56+L56+P56+Q56+R56</f>
        <v>1097559.64522126</v>
      </c>
      <c r="T56" s="25" t="n">
        <f aca="false">S56/E56</f>
        <v>432733.04213158</v>
      </c>
      <c r="U56" s="24" t="n">
        <f aca="false">1/(1+สมมติฐาน!$B$45)^(A56-1)</f>
        <v>0.158282555334209</v>
      </c>
      <c r="V56" s="25" t="n">
        <f aca="false">S56*U56</f>
        <v>173724.545277329</v>
      </c>
    </row>
    <row r="57" customFormat="false" ht="15" hidden="false" customHeight="true" outlineLevel="0" collapsed="false">
      <c r="A57" s="19" t="n">
        <v>49</v>
      </c>
      <c r="B57" s="19" t="n">
        <f aca="false">สมมติฐาน!$B$42+A57-1</f>
        <v>2617</v>
      </c>
      <c r="C57" s="19" t="n">
        <f aca="false">สมมติฐาน!$C$7+A57-1</f>
        <v>73</v>
      </c>
      <c r="D57" s="20" t="str">
        <f aca="false">IF(C57&lt;สมมติฐาน!$C$8,"รับราชการ","รับบำนาญ")</f>
        <v>รับบำนาญ</v>
      </c>
      <c r="E57" s="21" t="n">
        <f aca="false">(1+สมมติฐาน!$B$43)^(A57-1)</f>
        <v>2.58707038549943</v>
      </c>
      <c r="F57" s="14" t="n">
        <f aca="false">IF(D57="รับราชการ",สมมติฐาน!$C$13*(1+สมมติฐาน!$C$15)^(A57-1)*E57,0)</f>
        <v>0</v>
      </c>
      <c r="G57" s="14" t="n">
        <f aca="false">F57*12</f>
        <v>0</v>
      </c>
      <c r="H57" s="14" t="n">
        <f aca="false">IF(D57="รับราชการ",IF(A57&gt;=สมมติฐาน!$C$19,สมมติฐาน!$C$18,IF(A57&gt;=สมมติฐาน!$C$17,สมมติฐาน!$C$16,0))*12*E57,0)</f>
        <v>0</v>
      </c>
      <c r="I57" s="14" t="n">
        <f aca="false">G57*สมมติฐาน!$C$21</f>
        <v>0</v>
      </c>
      <c r="J57" s="14" t="n">
        <f aca="false">IF(AND(D57="รับราชการ",A57&lt;=สมมติฐาน!$C$23),สมมติฐาน!$C$22*12*E57,0)</f>
        <v>0</v>
      </c>
      <c r="K57" s="14" t="n">
        <f aca="false">IF(AND(D57="รับราชการ",A57&gt;=สมมติฐาน!$C$27,A57&lt;สมมติฐาน!$C$27+สมมติฐาน!$C$28),สมมติฐาน!$C$25*สมมติฐาน!$C$26*E57,0)</f>
        <v>0</v>
      </c>
      <c r="L57" s="14" t="n">
        <f aca="false">G57*สมมติฐาน!$C$20</f>
        <v>0</v>
      </c>
      <c r="M57" s="19" t="n">
        <f aca="false">IF(D57="รับราชการ",สมมติฐาน!$C$30+IF(AND(A57&gt;=สมมติฐาน!$C$32,A57&lt;=สมมติฐาน!$C$33),สมมติฐาน!$C$31,0),0)</f>
        <v>0</v>
      </c>
      <c r="N57" s="19" t="n">
        <f aca="false">IF(AND(A57&gt;=สมมติฐาน!$C$35,A57&lt;=สมมติฐาน!$C$36),สมมติฐาน!$C$34,0)+IF(D57="รับราชการ",0,สมมติฐาน!$C$37)</f>
        <v>2</v>
      </c>
      <c r="O57" s="21" t="n">
        <f aca="false">(1+สมมติฐาน!$B$43)^(A57-1)*(1+สมมติฐาน!$B$44)^(A57-1)</f>
        <v>6.69293317952817</v>
      </c>
      <c r="P57" s="14" t="n">
        <f aca="false">(M57*สมมติฐาน!$C$38+N57*สมมติฐาน!$C$39)*O57</f>
        <v>334646.658976409</v>
      </c>
      <c r="Q57" s="14" t="n">
        <f aca="false">IF(D57="รับราชการ",0,$AB$6*12*(1+สมมติฐาน!$B$46)^(A57-35-1))</f>
        <v>775907.723867545</v>
      </c>
      <c r="R57" s="14" t="n">
        <f aca="false">IF(C57=สมมติฐาน!$C$8,$AB$7,0)+IF(C57=65,$AB$9,0)+IF(A57=58,$AB$10+$AB$11,0)</f>
        <v>0</v>
      </c>
      <c r="S57" s="14" t="n">
        <f aca="false">G57+H57+I57+J57+K57+L57+P57+Q57+R57</f>
        <v>1110554.38284395</v>
      </c>
      <c r="T57" s="14" t="n">
        <f aca="false">S57/E57</f>
        <v>429271.03532576</v>
      </c>
      <c r="U57" s="21" t="n">
        <f aca="false">1/(1+สมมติฐาน!$B$45)^(A57-1)</f>
        <v>0.152194764744432</v>
      </c>
      <c r="V57" s="14" t="n">
        <f aca="false">S57*U57</f>
        <v>169020.563032833</v>
      </c>
    </row>
    <row r="58" customFormat="false" ht="15" hidden="false" customHeight="true" outlineLevel="0" collapsed="false">
      <c r="A58" s="22" t="n">
        <v>50</v>
      </c>
      <c r="B58" s="22" t="n">
        <f aca="false">สมมติฐาน!$B$42+A58-1</f>
        <v>2618</v>
      </c>
      <c r="C58" s="22" t="n">
        <f aca="false">สมมติฐาน!$C$7+A58-1</f>
        <v>74</v>
      </c>
      <c r="D58" s="23" t="str">
        <f aca="false">IF(C58&lt;สมมติฐาน!$C$8,"รับราชการ","รับบำนาญ")</f>
        <v>รับบำนาญ</v>
      </c>
      <c r="E58" s="24" t="n">
        <f aca="false">(1+สมมติฐาน!$B$43)^(A58-1)</f>
        <v>2.63881179320942</v>
      </c>
      <c r="F58" s="25" t="n">
        <f aca="false">IF(D58="รับราชการ",สมมติฐาน!$C$13*(1+สมมติฐาน!$C$15)^(A58-1)*E58,0)</f>
        <v>0</v>
      </c>
      <c r="G58" s="25" t="n">
        <f aca="false">F58*12</f>
        <v>0</v>
      </c>
      <c r="H58" s="25" t="n">
        <f aca="false">IF(D58="รับราชการ",IF(A58&gt;=สมมติฐาน!$C$19,สมมติฐาน!$C$18,IF(A58&gt;=สมมติฐาน!$C$17,สมมติฐาน!$C$16,0))*12*E58,0)</f>
        <v>0</v>
      </c>
      <c r="I58" s="25" t="n">
        <f aca="false">G58*สมมติฐาน!$C$21</f>
        <v>0</v>
      </c>
      <c r="J58" s="25" t="n">
        <f aca="false">IF(AND(D58="รับราชการ",A58&lt;=สมมติฐาน!$C$23),สมมติฐาน!$C$22*12*E58,0)</f>
        <v>0</v>
      </c>
      <c r="K58" s="25" t="n">
        <f aca="false">IF(AND(D58="รับราชการ",A58&gt;=สมมติฐาน!$C$27,A58&lt;สมมติฐาน!$C$27+สมมติฐาน!$C$28),สมมติฐาน!$C$25*สมมติฐาน!$C$26*E58,0)</f>
        <v>0</v>
      </c>
      <c r="L58" s="25" t="n">
        <f aca="false">G58*สมมติฐาน!$C$20</f>
        <v>0</v>
      </c>
      <c r="M58" s="22" t="n">
        <f aca="false">IF(D58="รับราชการ",สมมติฐาน!$C$30+IF(AND(A58&gt;=สมมติฐาน!$C$32,A58&lt;=สมมติฐาน!$C$33),สมมติฐาน!$C$31,0),0)</f>
        <v>0</v>
      </c>
      <c r="N58" s="22" t="n">
        <f aca="false">IF(AND(A58&gt;=สมมติฐาน!$C$35,A58&lt;=สมมติฐาน!$C$36),สมมติฐาน!$C$34,0)+IF(D58="รับราชการ",0,สมมติฐาน!$C$37)</f>
        <v>2</v>
      </c>
      <c r="O58" s="24" t="n">
        <f aca="false">(1+สมมติฐาน!$B$43)^(A58-1)*(1+สมมติฐาน!$B$44)^(A58-1)</f>
        <v>6.96332767998111</v>
      </c>
      <c r="P58" s="25" t="n">
        <f aca="false">(M58*สมมติฐาน!$C$38+N58*สมมติฐาน!$C$39)*O58</f>
        <v>348166.383999056</v>
      </c>
      <c r="Q58" s="25" t="n">
        <f aca="false">IF(D58="รับราชการ",0,$AB$6*12*(1+สมมติฐาน!$B$46)^(A58-35-1))</f>
        <v>775907.723867545</v>
      </c>
      <c r="R58" s="25" t="n">
        <f aca="false">IF(C58=สมมติฐาน!$C$8,$AB$7,0)+IF(C58=65,$AB$9,0)+IF(A58=58,$AB$10+$AB$11,0)</f>
        <v>0</v>
      </c>
      <c r="S58" s="25" t="n">
        <f aca="false">G58+H58+I58+J58+K58+L58+P58+Q58+R58</f>
        <v>1124074.1078666</v>
      </c>
      <c r="T58" s="25" t="n">
        <f aca="false">S58/E58</f>
        <v>425977.37010242</v>
      </c>
      <c r="U58" s="24" t="n">
        <f aca="false">1/(1+สมมติฐาน!$B$45)^(A58-1)</f>
        <v>0.146341119946569</v>
      </c>
      <c r="V58" s="25" t="n">
        <f aca="false">S58*U58</f>
        <v>164498.263848139</v>
      </c>
    </row>
    <row r="59" customFormat="false" ht="15" hidden="false" customHeight="true" outlineLevel="0" collapsed="false">
      <c r="A59" s="19" t="n">
        <v>51</v>
      </c>
      <c r="B59" s="19" t="n">
        <f aca="false">สมมติฐาน!$B$42+A59-1</f>
        <v>2619</v>
      </c>
      <c r="C59" s="19" t="n">
        <f aca="false">สมมติฐาน!$C$7+A59-1</f>
        <v>75</v>
      </c>
      <c r="D59" s="20" t="str">
        <f aca="false">IF(C59&lt;สมมติฐาน!$C$8,"รับราชการ","รับบำนาญ")</f>
        <v>รับบำนาญ</v>
      </c>
      <c r="E59" s="21" t="n">
        <f aca="false">(1+สมมติฐาน!$B$43)^(A59-1)</f>
        <v>2.69158802907361</v>
      </c>
      <c r="F59" s="14" t="n">
        <f aca="false">IF(D59="รับราชการ",สมมติฐาน!$C$13*(1+สมมติฐาน!$C$15)^(A59-1)*E59,0)</f>
        <v>0</v>
      </c>
      <c r="G59" s="14" t="n">
        <f aca="false">F59*12</f>
        <v>0</v>
      </c>
      <c r="H59" s="14" t="n">
        <f aca="false">IF(D59="รับราชการ",IF(A59&gt;=สมมติฐาน!$C$19,สมมติฐาน!$C$18,IF(A59&gt;=สมมติฐาน!$C$17,สมมติฐาน!$C$16,0))*12*E59,0)</f>
        <v>0</v>
      </c>
      <c r="I59" s="14" t="n">
        <f aca="false">G59*สมมติฐาน!$C$21</f>
        <v>0</v>
      </c>
      <c r="J59" s="14" t="n">
        <f aca="false">IF(AND(D59="รับราชการ",A59&lt;=สมมติฐาน!$C$23),สมมติฐาน!$C$22*12*E59,0)</f>
        <v>0</v>
      </c>
      <c r="K59" s="14" t="n">
        <f aca="false">IF(AND(D59="รับราชการ",A59&gt;=สมมติฐาน!$C$27,A59&lt;สมมติฐาน!$C$27+สมมติฐาน!$C$28),สมมติฐาน!$C$25*สมมติฐาน!$C$26*E59,0)</f>
        <v>0</v>
      </c>
      <c r="L59" s="14" t="n">
        <f aca="false">G59*สมมติฐาน!$C$20</f>
        <v>0</v>
      </c>
      <c r="M59" s="19" t="n">
        <f aca="false">IF(D59="รับราชการ",สมมติฐาน!$C$30+IF(AND(A59&gt;=สมมติฐาน!$C$32,A59&lt;=สมมติฐาน!$C$33),สมมติฐาน!$C$31,0),0)</f>
        <v>0</v>
      </c>
      <c r="N59" s="19" t="n">
        <f aca="false">IF(AND(A59&gt;=สมมติฐาน!$C$35,A59&lt;=สมมติฐาน!$C$36),สมมติฐาน!$C$34,0)+IF(D59="รับราชการ",0,สมมติฐาน!$C$37)</f>
        <v>2</v>
      </c>
      <c r="O59" s="21" t="n">
        <f aca="false">(1+สมมติฐาน!$B$43)^(A59-1)*(1+สมมติฐาน!$B$44)^(A59-1)</f>
        <v>7.24464611825235</v>
      </c>
      <c r="P59" s="14" t="n">
        <f aca="false">(M59*สมมติฐาน!$C$38+N59*สมมติฐาน!$C$39)*O59</f>
        <v>362232.305912617</v>
      </c>
      <c r="Q59" s="14" t="n">
        <f aca="false">IF(D59="รับราชการ",0,$AB$6*12*(1+สมมติฐาน!$B$46)^(A59-35-1))</f>
        <v>775907.723867545</v>
      </c>
      <c r="R59" s="14" t="n">
        <f aca="false">IF(C59=สมมติฐาน!$C$8,$AB$7,0)+IF(C59=65,$AB$9,0)+IF(A59=58,$AB$10+$AB$11,0)</f>
        <v>0</v>
      </c>
      <c r="S59" s="14" t="n">
        <f aca="false">G59+H59+I59+J59+K59+L59+P59+Q59+R59</f>
        <v>1138140.02978016</v>
      </c>
      <c r="T59" s="14" t="n">
        <f aca="false">S59/E59</f>
        <v>422850.754828141</v>
      </c>
      <c r="U59" s="21" t="n">
        <f aca="false">1/(1+สมมติฐาน!$B$45)^(A59-1)</f>
        <v>0.140712615333239</v>
      </c>
      <c r="V59" s="14" t="n">
        <f aca="false">S59*U59</f>
        <v>160150.660205818</v>
      </c>
    </row>
    <row r="60" customFormat="false" ht="15" hidden="false" customHeight="true" outlineLevel="0" collapsed="false">
      <c r="A60" s="22" t="n">
        <v>52</v>
      </c>
      <c r="B60" s="22" t="n">
        <f aca="false">สมมติฐาน!$B$42+A60-1</f>
        <v>2620</v>
      </c>
      <c r="C60" s="22" t="n">
        <f aca="false">สมมติฐาน!$C$7+A60-1</f>
        <v>76</v>
      </c>
      <c r="D60" s="23" t="str">
        <f aca="false">IF(C60&lt;สมมติฐาน!$C$8,"รับราชการ","รับบำนาญ")</f>
        <v>รับบำนาญ</v>
      </c>
      <c r="E60" s="24" t="n">
        <f aca="false">(1+สมมติฐาน!$B$43)^(A60-1)</f>
        <v>2.74541978965508</v>
      </c>
      <c r="F60" s="25" t="n">
        <f aca="false">IF(D60="รับราชการ",สมมติฐาน!$C$13*(1+สมมติฐาน!$C$15)^(A60-1)*E60,0)</f>
        <v>0</v>
      </c>
      <c r="G60" s="25" t="n">
        <f aca="false">F60*12</f>
        <v>0</v>
      </c>
      <c r="H60" s="25" t="n">
        <f aca="false">IF(D60="รับราชการ",IF(A60&gt;=สมมติฐาน!$C$19,สมมติฐาน!$C$18,IF(A60&gt;=สมมติฐาน!$C$17,สมมติฐาน!$C$16,0))*12*E60,0)</f>
        <v>0</v>
      </c>
      <c r="I60" s="25" t="n">
        <f aca="false">G60*สมมติฐาน!$C$21</f>
        <v>0</v>
      </c>
      <c r="J60" s="25" t="n">
        <f aca="false">IF(AND(D60="รับราชการ",A60&lt;=สมมติฐาน!$C$23),สมมติฐาน!$C$22*12*E60,0)</f>
        <v>0</v>
      </c>
      <c r="K60" s="25" t="n">
        <f aca="false">IF(AND(D60="รับราชการ",A60&gt;=สมมติฐาน!$C$27,A60&lt;สมมติฐาน!$C$27+สมมติฐาน!$C$28),สมมติฐาน!$C$25*สมมติฐาน!$C$26*E60,0)</f>
        <v>0</v>
      </c>
      <c r="L60" s="25" t="n">
        <f aca="false">G60*สมมติฐาน!$C$20</f>
        <v>0</v>
      </c>
      <c r="M60" s="22" t="n">
        <f aca="false">IF(D60="รับราชการ",สมมติฐาน!$C$30+IF(AND(A60&gt;=สมมติฐาน!$C$32,A60&lt;=สมมติฐาน!$C$33),สมมติฐาน!$C$31,0),0)</f>
        <v>0</v>
      </c>
      <c r="N60" s="22" t="n">
        <f aca="false">IF(AND(A60&gt;=สมมติฐาน!$C$35,A60&lt;=สมมติฐาน!$C$36),สมมติฐาน!$C$34,0)+IF(D60="รับราชการ",0,สมมติฐาน!$C$37)</f>
        <v>2</v>
      </c>
      <c r="O60" s="24" t="n">
        <f aca="false">(1+สมมติฐาน!$B$43)^(A60-1)*(1+สมมติฐาน!$B$44)^(A60-1)</f>
        <v>7.53732982142974</v>
      </c>
      <c r="P60" s="25" t="n">
        <f aca="false">(M60*สมมติฐาน!$C$38+N60*สมมติฐาน!$C$39)*O60</f>
        <v>376866.491071487</v>
      </c>
      <c r="Q60" s="25" t="n">
        <f aca="false">IF(D60="รับราชการ",0,$AB$6*12*(1+สมมติฐาน!$B$46)^(A60-35-1))</f>
        <v>775907.723867545</v>
      </c>
      <c r="R60" s="25" t="n">
        <f aca="false">IF(C60=สมมติฐาน!$C$8,$AB$7,0)+IF(C60=65,$AB$9,0)+IF(A60=58,$AB$10+$AB$11,0)</f>
        <v>0</v>
      </c>
      <c r="S60" s="25" t="n">
        <f aca="false">G60+H60+I60+J60+K60+L60+P60+Q60+R60</f>
        <v>1152774.21493903</v>
      </c>
      <c r="T60" s="25" t="n">
        <f aca="false">S60/E60</f>
        <v>419889.963379284</v>
      </c>
      <c r="U60" s="24" t="n">
        <f aca="false">1/(1+สมมติฐาน!$B$45)^(A60-1)</f>
        <v>0.135300591666576</v>
      </c>
      <c r="V60" s="25" t="n">
        <f aca="false">S60*U60</f>
        <v>155971.033339224</v>
      </c>
    </row>
    <row r="61" customFormat="false" ht="15" hidden="false" customHeight="true" outlineLevel="0" collapsed="false">
      <c r="A61" s="19" t="n">
        <v>53</v>
      </c>
      <c r="B61" s="19" t="n">
        <f aca="false">สมมติฐาน!$B$42+A61-1</f>
        <v>2621</v>
      </c>
      <c r="C61" s="19" t="n">
        <f aca="false">สมมติฐาน!$C$7+A61-1</f>
        <v>77</v>
      </c>
      <c r="D61" s="20" t="str">
        <f aca="false">IF(C61&lt;สมมติฐาน!$C$8,"รับราชการ","รับบำนาญ")</f>
        <v>รับบำนาญ</v>
      </c>
      <c r="E61" s="21" t="n">
        <f aca="false">(1+สมมติฐาน!$B$43)^(A61-1)</f>
        <v>2.80032818544818</v>
      </c>
      <c r="F61" s="14" t="n">
        <f aca="false">IF(D61="รับราชการ",สมมติฐาน!$C$13*(1+สมมติฐาน!$C$15)^(A61-1)*E61,0)</f>
        <v>0</v>
      </c>
      <c r="G61" s="14" t="n">
        <f aca="false">F61*12</f>
        <v>0</v>
      </c>
      <c r="H61" s="14" t="n">
        <f aca="false">IF(D61="รับราชการ",IF(A61&gt;=สมมติฐาน!$C$19,สมมติฐาน!$C$18,IF(A61&gt;=สมมติฐาน!$C$17,สมมติฐาน!$C$16,0))*12*E61,0)</f>
        <v>0</v>
      </c>
      <c r="I61" s="14" t="n">
        <f aca="false">G61*สมมติฐาน!$C$21</f>
        <v>0</v>
      </c>
      <c r="J61" s="14" t="n">
        <f aca="false">IF(AND(D61="รับราชการ",A61&lt;=สมมติฐาน!$C$23),สมมติฐาน!$C$22*12*E61,0)</f>
        <v>0</v>
      </c>
      <c r="K61" s="14" t="n">
        <f aca="false">IF(AND(D61="รับราชการ",A61&gt;=สมมติฐาน!$C$27,A61&lt;สมมติฐาน!$C$27+สมมติฐาน!$C$28),สมมติฐาน!$C$25*สมมติฐาน!$C$26*E61,0)</f>
        <v>0</v>
      </c>
      <c r="L61" s="14" t="n">
        <f aca="false">G61*สมมติฐาน!$C$20</f>
        <v>0</v>
      </c>
      <c r="M61" s="19" t="n">
        <f aca="false">IF(D61="รับราชการ",สมมติฐาน!$C$30+IF(AND(A61&gt;=สมมติฐาน!$C$32,A61&lt;=สมมติฐาน!$C$33),สมมติฐาน!$C$31,0),0)</f>
        <v>0</v>
      </c>
      <c r="N61" s="19" t="n">
        <f aca="false">IF(AND(A61&gt;=สมมติฐาน!$C$35,A61&lt;=สมมติฐาน!$C$36),สมมติฐาน!$C$34,0)+IF(D61="รับราชการ",0,สมมติฐาน!$C$37)</f>
        <v>2</v>
      </c>
      <c r="O61" s="21" t="n">
        <f aca="false">(1+สมมติฐาน!$B$43)^(A61-1)*(1+สมมติฐาน!$B$44)^(A61-1)</f>
        <v>7.84183794621551</v>
      </c>
      <c r="P61" s="14" t="n">
        <f aca="false">(M61*สมมติฐาน!$C$38+N61*สมมติฐาน!$C$39)*O61</f>
        <v>392091.897310775</v>
      </c>
      <c r="Q61" s="14" t="n">
        <f aca="false">IF(D61="รับราชการ",0,$AB$6*12*(1+สมมติฐาน!$B$46)^(A61-35-1))</f>
        <v>775907.723867545</v>
      </c>
      <c r="R61" s="14" t="n">
        <f aca="false">IF(C61=สมมติฐาน!$C$8,$AB$7,0)+IF(C61=65,$AB$9,0)+IF(A61=58,$AB$10+$AB$11,0)</f>
        <v>0</v>
      </c>
      <c r="S61" s="14" t="n">
        <f aca="false">G61+H61+I61+J61+K61+L61+P61+Q61+R61</f>
        <v>1167999.62117832</v>
      </c>
      <c r="T61" s="14" t="n">
        <f aca="false">S61/E61</f>
        <v>417093.834661164</v>
      </c>
      <c r="U61" s="21" t="n">
        <f aca="false">1/(1+สมมติฐาน!$B$45)^(A61-1)</f>
        <v>0.130096722756323</v>
      </c>
      <c r="V61" s="14" t="n">
        <f aca="false">S61*U61</f>
        <v>151952.922895927</v>
      </c>
    </row>
    <row r="62" customFormat="false" ht="15" hidden="false" customHeight="true" outlineLevel="0" collapsed="false">
      <c r="A62" s="22" t="n">
        <v>54</v>
      </c>
      <c r="B62" s="22" t="n">
        <f aca="false">สมมติฐาน!$B$42+A62-1</f>
        <v>2622</v>
      </c>
      <c r="C62" s="22" t="n">
        <f aca="false">สมมติฐาน!$C$7+A62-1</f>
        <v>78</v>
      </c>
      <c r="D62" s="23" t="str">
        <f aca="false">IF(C62&lt;สมมติฐาน!$C$8,"รับราชการ","รับบำนาญ")</f>
        <v>รับบำนาญ</v>
      </c>
      <c r="E62" s="24" t="n">
        <f aca="false">(1+สมมติฐาน!$B$43)^(A62-1)</f>
        <v>2.85633474915715</v>
      </c>
      <c r="F62" s="25" t="n">
        <f aca="false">IF(D62="รับราชการ",สมมติฐาน!$C$13*(1+สมมติฐาน!$C$15)^(A62-1)*E62,0)</f>
        <v>0</v>
      </c>
      <c r="G62" s="25" t="n">
        <f aca="false">F62*12</f>
        <v>0</v>
      </c>
      <c r="H62" s="25" t="n">
        <f aca="false">IF(D62="รับราชการ",IF(A62&gt;=สมมติฐาน!$C$19,สมมติฐาน!$C$18,IF(A62&gt;=สมมติฐาน!$C$17,สมมติฐาน!$C$16,0))*12*E62,0)</f>
        <v>0</v>
      </c>
      <c r="I62" s="25" t="n">
        <f aca="false">G62*สมมติฐาน!$C$21</f>
        <v>0</v>
      </c>
      <c r="J62" s="25" t="n">
        <f aca="false">IF(AND(D62="รับราชการ",A62&lt;=สมมติฐาน!$C$23),สมมติฐาน!$C$22*12*E62,0)</f>
        <v>0</v>
      </c>
      <c r="K62" s="25" t="n">
        <f aca="false">IF(AND(D62="รับราชการ",A62&gt;=สมมติฐาน!$C$27,A62&lt;สมมติฐาน!$C$27+สมมติฐาน!$C$28),สมมติฐาน!$C$25*สมมติฐาน!$C$26*E62,0)</f>
        <v>0</v>
      </c>
      <c r="L62" s="25" t="n">
        <f aca="false">G62*สมมติฐาน!$C$20</f>
        <v>0</v>
      </c>
      <c r="M62" s="22" t="n">
        <f aca="false">IF(D62="รับราชการ",สมมติฐาน!$C$30+IF(AND(A62&gt;=สมมติฐาน!$C$32,A62&lt;=สมมติฐาน!$C$33),สมมติฐาน!$C$31,0),0)</f>
        <v>0</v>
      </c>
      <c r="N62" s="22" t="n">
        <f aca="false">IF(AND(A62&gt;=สมมติฐาน!$C$35,A62&lt;=สมมติฐาน!$C$36),สมมติฐาน!$C$34,0)+IF(D62="รับราชการ",0,สมมติฐาน!$C$37)</f>
        <v>2</v>
      </c>
      <c r="O62" s="24" t="n">
        <f aca="false">(1+สมมติฐาน!$B$43)^(A62-1)*(1+สมมติฐาน!$B$44)^(A62-1)</f>
        <v>8.15864819924261</v>
      </c>
      <c r="P62" s="25" t="n">
        <f aca="false">(M62*สมมติฐาน!$C$38+N62*สมมติฐาน!$C$39)*O62</f>
        <v>407932.409962131</v>
      </c>
      <c r="Q62" s="25" t="n">
        <f aca="false">IF(D62="รับราชการ",0,$AB$6*12*(1+สมมติฐาน!$B$46)^(A62-35-1))</f>
        <v>775907.723867545</v>
      </c>
      <c r="R62" s="25" t="n">
        <f aca="false">IF(C62=สมมติฐาน!$C$8,$AB$7,0)+IF(C62=65,$AB$9,0)+IF(A62=58,$AB$10+$AB$11,0)</f>
        <v>0</v>
      </c>
      <c r="S62" s="25" t="n">
        <f aca="false">G62+H62+I62+J62+K62+L62+P62+Q62+R62</f>
        <v>1183840.13382968</v>
      </c>
      <c r="T62" s="25" t="n">
        <f aca="false">S62/E62</f>
        <v>414461.272152715</v>
      </c>
      <c r="U62" s="24" t="n">
        <f aca="false">1/(1+สมมติฐาน!$B$45)^(A62-1)</f>
        <v>0.125093002650311</v>
      </c>
      <c r="V62" s="25" t="n">
        <f aca="false">S62*U62</f>
        <v>148090.1169987</v>
      </c>
    </row>
    <row r="63" customFormat="false" ht="15" hidden="false" customHeight="true" outlineLevel="0" collapsed="false">
      <c r="A63" s="19" t="n">
        <v>55</v>
      </c>
      <c r="B63" s="19" t="n">
        <f aca="false">สมมติฐาน!$B$42+A63-1</f>
        <v>2623</v>
      </c>
      <c r="C63" s="19" t="n">
        <f aca="false">สมมติฐาน!$C$7+A63-1</f>
        <v>79</v>
      </c>
      <c r="D63" s="20" t="str">
        <f aca="false">IF(C63&lt;สมมติฐาน!$C$8,"รับราชการ","รับบำนาญ")</f>
        <v>รับบำนาญ</v>
      </c>
      <c r="E63" s="21" t="n">
        <f aca="false">(1+สมมติฐาน!$B$43)^(A63-1)</f>
        <v>2.91346144414029</v>
      </c>
      <c r="F63" s="14" t="n">
        <f aca="false">IF(D63="รับราชการ",สมมติฐาน!$C$13*(1+สมมติฐาน!$C$15)^(A63-1)*E63,0)</f>
        <v>0</v>
      </c>
      <c r="G63" s="14" t="n">
        <f aca="false">F63*12</f>
        <v>0</v>
      </c>
      <c r="H63" s="14" t="n">
        <f aca="false">IF(D63="รับราชการ",IF(A63&gt;=สมมติฐาน!$C$19,สมมติฐาน!$C$18,IF(A63&gt;=สมมติฐาน!$C$17,สมมติฐาน!$C$16,0))*12*E63,0)</f>
        <v>0</v>
      </c>
      <c r="I63" s="14" t="n">
        <f aca="false">G63*สมมติฐาน!$C$21</f>
        <v>0</v>
      </c>
      <c r="J63" s="14" t="n">
        <f aca="false">IF(AND(D63="รับราชการ",A63&lt;=สมมติฐาน!$C$23),สมมติฐาน!$C$22*12*E63,0)</f>
        <v>0</v>
      </c>
      <c r="K63" s="14" t="n">
        <f aca="false">IF(AND(D63="รับราชการ",A63&gt;=สมมติฐาน!$C$27,A63&lt;สมมติฐาน!$C$27+สมมติฐาน!$C$28),สมมติฐาน!$C$25*สมมติฐาน!$C$26*E63,0)</f>
        <v>0</v>
      </c>
      <c r="L63" s="14" t="n">
        <f aca="false">G63*สมมติฐาน!$C$20</f>
        <v>0</v>
      </c>
      <c r="M63" s="19" t="n">
        <f aca="false">IF(D63="รับราชการ",สมมติฐาน!$C$30+IF(AND(A63&gt;=สมมติฐาน!$C$32,A63&lt;=สมมติฐาน!$C$33),สมมติฐาน!$C$31,0),0)</f>
        <v>0</v>
      </c>
      <c r="N63" s="19" t="n">
        <f aca="false">IF(AND(A63&gt;=สมมติฐาน!$C$35,A63&lt;=สมมติฐาน!$C$36),สมมติฐาน!$C$34,0)+IF(D63="รับราชการ",0,สมมติฐาน!$C$37)</f>
        <v>2</v>
      </c>
      <c r="O63" s="21" t="n">
        <f aca="false">(1+สมมติฐาน!$B$43)^(A63-1)*(1+สมมติฐาน!$B$44)^(A63-1)</f>
        <v>8.48825758649202</v>
      </c>
      <c r="P63" s="14" t="n">
        <f aca="false">(M63*สมมติฐาน!$C$38+N63*สมมติฐาน!$C$39)*O63</f>
        <v>424412.879324601</v>
      </c>
      <c r="Q63" s="14" t="n">
        <f aca="false">IF(D63="รับราชการ",0,$AB$6*12*(1+สมมติฐาน!$B$46)^(A63-35-1))</f>
        <v>775907.723867545</v>
      </c>
      <c r="R63" s="14" t="n">
        <f aca="false">IF(C63=สมมติฐาน!$C$8,$AB$7,0)+IF(C63=65,$AB$9,0)+IF(A63=58,$AB$10+$AB$11,0)</f>
        <v>0</v>
      </c>
      <c r="S63" s="14" t="n">
        <f aca="false">G63+H63+I63+J63+K63+L63+P63+Q63+R63</f>
        <v>1200320.60319215</v>
      </c>
      <c r="T63" s="14" t="n">
        <f aca="false">S63/E63</f>
        <v>411991.243476482</v>
      </c>
      <c r="U63" s="21" t="n">
        <f aca="false">1/(1+สมมติฐาน!$B$45)^(A63-1)</f>
        <v>0.120281733317607</v>
      </c>
      <c r="V63" s="14" t="n">
        <f aca="false">S63*U63</f>
        <v>144376.642688787</v>
      </c>
    </row>
    <row r="64" customFormat="false" ht="15" hidden="false" customHeight="true" outlineLevel="0" collapsed="false">
      <c r="A64" s="22" t="n">
        <v>56</v>
      </c>
      <c r="B64" s="22" t="n">
        <f aca="false">สมมติฐาน!$B$42+A64-1</f>
        <v>2624</v>
      </c>
      <c r="C64" s="22" t="n">
        <f aca="false">สมมติฐาน!$C$7+A64-1</f>
        <v>80</v>
      </c>
      <c r="D64" s="23" t="str">
        <f aca="false">IF(C64&lt;สมมติฐาน!$C$8,"รับราชการ","รับบำนาญ")</f>
        <v>รับบำนาญ</v>
      </c>
      <c r="E64" s="24" t="n">
        <f aca="false">(1+สมมติฐาน!$B$43)^(A64-1)</f>
        <v>2.97173067302309</v>
      </c>
      <c r="F64" s="25" t="n">
        <f aca="false">IF(D64="รับราชการ",สมมติฐาน!$C$13*(1+สมมติฐาน!$C$15)^(A64-1)*E64,0)</f>
        <v>0</v>
      </c>
      <c r="G64" s="25" t="n">
        <f aca="false">F64*12</f>
        <v>0</v>
      </c>
      <c r="H64" s="25" t="n">
        <f aca="false">IF(D64="รับราชการ",IF(A64&gt;=สมมติฐาน!$C$19,สมมติฐาน!$C$18,IF(A64&gt;=สมมติฐาน!$C$17,สมมติฐาน!$C$16,0))*12*E64,0)</f>
        <v>0</v>
      </c>
      <c r="I64" s="25" t="n">
        <f aca="false">G64*สมมติฐาน!$C$21</f>
        <v>0</v>
      </c>
      <c r="J64" s="25" t="n">
        <f aca="false">IF(AND(D64="รับราชการ",A64&lt;=สมมติฐาน!$C$23),สมมติฐาน!$C$22*12*E64,0)</f>
        <v>0</v>
      </c>
      <c r="K64" s="25" t="n">
        <f aca="false">IF(AND(D64="รับราชการ",A64&gt;=สมมติฐาน!$C$27,A64&lt;สมมติฐาน!$C$27+สมมติฐาน!$C$28),สมมติฐาน!$C$25*สมมติฐาน!$C$26*E64,0)</f>
        <v>0</v>
      </c>
      <c r="L64" s="25" t="n">
        <f aca="false">G64*สมมติฐาน!$C$20</f>
        <v>0</v>
      </c>
      <c r="M64" s="22" t="n">
        <f aca="false">IF(D64="รับราชการ",สมมติฐาน!$C$30+IF(AND(A64&gt;=สมมติฐาน!$C$32,A64&lt;=สมมติฐาน!$C$33),สมมติฐาน!$C$31,0),0)</f>
        <v>0</v>
      </c>
      <c r="N64" s="22" t="n">
        <f aca="false">IF(AND(A64&gt;=สมมติฐาน!$C$35,A64&lt;=สมมติฐาน!$C$36),สมมติฐาน!$C$34,0)+IF(D64="รับราชการ",0,สมมติฐาน!$C$37)</f>
        <v>2</v>
      </c>
      <c r="O64" s="24" t="n">
        <f aca="false">(1+สมมติฐาน!$B$43)^(A64-1)*(1+สมมติฐาน!$B$44)^(A64-1)</f>
        <v>8.83118319298629</v>
      </c>
      <c r="P64" s="25" t="n">
        <f aca="false">(M64*สมมติฐาน!$C$38+N64*สมมติฐาน!$C$39)*O64</f>
        <v>441559.159649315</v>
      </c>
      <c r="Q64" s="25" t="n">
        <f aca="false">IF(D64="รับราชการ",0,$AB$6*12*(1+สมมติฐาน!$B$46)^(A64-35-1))</f>
        <v>775907.723867545</v>
      </c>
      <c r="R64" s="25" t="n">
        <f aca="false">IF(C64=สมมติฐาน!$C$8,$AB$7,0)+IF(C64=65,$AB$9,0)+IF(A64=58,$AB$10+$AB$11,0)</f>
        <v>0</v>
      </c>
      <c r="S64" s="25" t="n">
        <f aca="false">G64+H64+I64+J64+K64+L64+P64+Q64+R64</f>
        <v>1217466.88351686</v>
      </c>
      <c r="T64" s="25" t="n">
        <f aca="false">S64/E64</f>
        <v>409682.77999377</v>
      </c>
      <c r="U64" s="24" t="n">
        <f aca="false">1/(1+สมมติฐาน!$B$45)^(A64-1)</f>
        <v>0.115655512805391</v>
      </c>
      <c r="V64" s="25" t="n">
        <f aca="false">S64*U64</f>
        <v>140806.756736724</v>
      </c>
    </row>
    <row r="65" customFormat="false" ht="15" hidden="false" customHeight="true" outlineLevel="0" collapsed="false">
      <c r="A65" s="19" t="n">
        <v>57</v>
      </c>
      <c r="B65" s="19" t="n">
        <f aca="false">สมมติฐาน!$B$42+A65-1</f>
        <v>2625</v>
      </c>
      <c r="C65" s="19" t="n">
        <f aca="false">สมมติฐาน!$C$7+A65-1</f>
        <v>81</v>
      </c>
      <c r="D65" s="20" t="str">
        <f aca="false">IF(C65&lt;สมมติฐาน!$C$8,"รับราชการ","รับบำนาญ")</f>
        <v>รับบำนาญ</v>
      </c>
      <c r="E65" s="21" t="n">
        <f aca="false">(1+สมมติฐาน!$B$43)^(A65-1)</f>
        <v>3.03116528648356</v>
      </c>
      <c r="F65" s="14" t="n">
        <f aca="false">IF(D65="รับราชการ",สมมติฐาน!$C$13*(1+สมมติฐาน!$C$15)^(A65-1)*E65,0)</f>
        <v>0</v>
      </c>
      <c r="G65" s="14" t="n">
        <f aca="false">F65*12</f>
        <v>0</v>
      </c>
      <c r="H65" s="14" t="n">
        <f aca="false">IF(D65="รับราชการ",IF(A65&gt;=สมมติฐาน!$C$19,สมมติฐาน!$C$18,IF(A65&gt;=สมมติฐาน!$C$17,สมมติฐาน!$C$16,0))*12*E65,0)</f>
        <v>0</v>
      </c>
      <c r="I65" s="14" t="n">
        <f aca="false">G65*สมมติฐาน!$C$21</f>
        <v>0</v>
      </c>
      <c r="J65" s="14" t="n">
        <f aca="false">IF(AND(D65="รับราชการ",A65&lt;=สมมติฐาน!$C$23),สมมติฐาน!$C$22*12*E65,0)</f>
        <v>0</v>
      </c>
      <c r="K65" s="14" t="n">
        <f aca="false">IF(AND(D65="รับราชการ",A65&gt;=สมมติฐาน!$C$27,A65&lt;สมมติฐาน!$C$27+สมมติฐาน!$C$28),สมมติฐาน!$C$25*สมมติฐาน!$C$26*E65,0)</f>
        <v>0</v>
      </c>
      <c r="L65" s="14" t="n">
        <f aca="false">G65*สมมติฐาน!$C$20</f>
        <v>0</v>
      </c>
      <c r="M65" s="19" t="n">
        <f aca="false">IF(D65="รับราชการ",สมมติฐาน!$C$30+IF(AND(A65&gt;=สมมติฐาน!$C$32,A65&lt;=สมมติฐาน!$C$33),สมมติฐาน!$C$31,0),0)</f>
        <v>0</v>
      </c>
      <c r="N65" s="19" t="n">
        <f aca="false">IF(AND(A65&gt;=สมมติฐาน!$C$35,A65&lt;=สมมติฐาน!$C$36),สมมติฐาน!$C$34,0)+IF(D65="รับราชการ",0,สมมติฐาน!$C$37)</f>
        <v>2</v>
      </c>
      <c r="O65" s="21" t="n">
        <f aca="false">(1+สมมติฐาน!$B$43)^(A65-1)*(1+สมมติฐาน!$B$44)^(A65-1)</f>
        <v>9.18796299398294</v>
      </c>
      <c r="P65" s="14" t="n">
        <f aca="false">(M65*สมมติฐาน!$C$38+N65*สมมติฐาน!$C$39)*O65</f>
        <v>459398.149699147</v>
      </c>
      <c r="Q65" s="14" t="n">
        <f aca="false">IF(D65="รับราชการ",0,$AB$6*12*(1+สมมติฐาน!$B$46)^(A65-35-1))</f>
        <v>775907.723867545</v>
      </c>
      <c r="R65" s="14" t="n">
        <f aca="false">IF(C65=สมมติฐาน!$C$8,$AB$7,0)+IF(C65=65,$AB$9,0)+IF(A65=58,$AB$10+$AB$11,0)</f>
        <v>0</v>
      </c>
      <c r="S65" s="14" t="n">
        <f aca="false">G65+H65+I65+J65+K65+L65+P65+Q65+R65</f>
        <v>1235305.87356669</v>
      </c>
      <c r="T65" s="14" t="n">
        <f aca="false">S65/E65</f>
        <v>407534.976424781</v>
      </c>
      <c r="U65" s="21" t="n">
        <f aca="false">1/(1+สมมติฐาน!$B$45)^(A65-1)</f>
        <v>0.111207223851338</v>
      </c>
      <c r="V65" s="14" t="n">
        <f aca="false">S65*U65</f>
        <v>137374.936806603</v>
      </c>
    </row>
    <row r="66" customFormat="false" ht="15" hidden="false" customHeight="true" outlineLevel="0" collapsed="false">
      <c r="A66" s="22" t="n">
        <v>58</v>
      </c>
      <c r="B66" s="22" t="n">
        <f aca="false">สมมติฐาน!$B$42+A66-1</f>
        <v>2626</v>
      </c>
      <c r="C66" s="22" t="n">
        <f aca="false">สมมติฐาน!$C$7+A66-1</f>
        <v>82</v>
      </c>
      <c r="D66" s="23" t="str">
        <f aca="false">IF(C66&lt;สมมติฐาน!$C$8,"รับราชการ","รับบำนาญ")</f>
        <v>รับบำนาญ</v>
      </c>
      <c r="E66" s="24" t="n">
        <f aca="false">(1+สมมติฐาน!$B$43)^(A66-1)</f>
        <v>3.09178859221323</v>
      </c>
      <c r="F66" s="25" t="n">
        <f aca="false">IF(D66="รับราชการ",สมมติฐาน!$C$13*(1+สมมติฐาน!$C$15)^(A66-1)*E66,0)</f>
        <v>0</v>
      </c>
      <c r="G66" s="25" t="n">
        <f aca="false">F66*12</f>
        <v>0</v>
      </c>
      <c r="H66" s="25" t="n">
        <f aca="false">IF(D66="รับราชการ",IF(A66&gt;=สมมติฐาน!$C$19,สมมติฐาน!$C$18,IF(A66&gt;=สมมติฐาน!$C$17,สมมติฐาน!$C$16,0))*12*E66,0)</f>
        <v>0</v>
      </c>
      <c r="I66" s="25" t="n">
        <f aca="false">G66*สมมติฐาน!$C$21</f>
        <v>0</v>
      </c>
      <c r="J66" s="25" t="n">
        <f aca="false">IF(AND(D66="รับราชการ",A66&lt;=สมมติฐาน!$C$23),สมมติฐาน!$C$22*12*E66,0)</f>
        <v>0</v>
      </c>
      <c r="K66" s="25" t="n">
        <f aca="false">IF(AND(D66="รับราชการ",A66&gt;=สมมติฐาน!$C$27,A66&lt;สมมติฐาน!$C$27+สมมติฐาน!$C$28),สมมติฐาน!$C$25*สมมติฐาน!$C$26*E66,0)</f>
        <v>0</v>
      </c>
      <c r="L66" s="25" t="n">
        <f aca="false">G66*สมมติฐาน!$C$20</f>
        <v>0</v>
      </c>
      <c r="M66" s="22" t="n">
        <f aca="false">IF(D66="รับราชการ",สมมติฐาน!$C$30+IF(AND(A66&gt;=สมมติฐาน!$C$32,A66&lt;=สมมติฐาน!$C$33),สมมติฐาน!$C$31,0),0)</f>
        <v>0</v>
      </c>
      <c r="N66" s="22" t="n">
        <f aca="false">IF(AND(A66&gt;=สมมติฐาน!$C$35,A66&lt;=สมมติฐาน!$C$36),สมมติฐาน!$C$34,0)+IF(D66="รับราชการ",0,สมมติฐาน!$C$37)</f>
        <v>2</v>
      </c>
      <c r="O66" s="24" t="n">
        <f aca="false">(1+สมมติฐาน!$B$43)^(A66-1)*(1+สมมติฐาน!$B$44)^(A66-1)</f>
        <v>9.55915669893985</v>
      </c>
      <c r="P66" s="25" t="n">
        <f aca="false">(M66*สมมติฐาน!$C$38+N66*สมมติฐาน!$C$39)*O66</f>
        <v>477957.834946992</v>
      </c>
      <c r="Q66" s="25" t="n">
        <f aca="false">IF(D66="รับราชการ",0,$AB$6*12*(1+สมมติฐาน!$B$46)^(A66-35-1))</f>
        <v>775907.723867545</v>
      </c>
      <c r="R66" s="25" t="n">
        <f aca="false">IF(C66=สมมติฐาน!$C$8,$AB$7,0)+IF(C66=65,$AB$9,0)+IF(A66=58,$AB$10+$AB$11,0)</f>
        <v>1633746.24063575</v>
      </c>
      <c r="S66" s="25" t="n">
        <f aca="false">G66+H66+I66+J66+K66+L66+P66+Q66+R66</f>
        <v>2887611.79945029</v>
      </c>
      <c r="T66" s="25" t="n">
        <f aca="false">S66/E66</f>
        <v>933961.593209455</v>
      </c>
      <c r="U66" s="24" t="n">
        <f aca="false">1/(1+สมมติฐาน!$B$45)^(A66-1)</f>
        <v>0.106930022933978</v>
      </c>
      <c r="V66" s="25" t="n">
        <f aca="false">S66*U66</f>
        <v>308772.395939646</v>
      </c>
    </row>
    <row r="67" customFormat="false" ht="15" hidden="false" customHeight="true" outlineLevel="0" collapsed="false">
      <c r="A67" s="6" t="s">
        <v>181</v>
      </c>
      <c r="G67" s="26" t="n">
        <f aca="false">SUM(G9:G66)</f>
        <v>20564828.129212</v>
      </c>
      <c r="H67" s="26" t="n">
        <f aca="false">SUM(H9:H66)</f>
        <v>2471806.91749734</v>
      </c>
      <c r="I67" s="26" t="n">
        <f aca="false">SUM(I9:I66)</f>
        <v>1028241.4064606</v>
      </c>
      <c r="J67" s="26" t="n">
        <f aca="false">SUM(J9:J66)</f>
        <v>525586.607987417</v>
      </c>
      <c r="K67" s="26" t="n">
        <f aca="false">SUM(K9:K66)</f>
        <v>1229800.81703863</v>
      </c>
      <c r="L67" s="26" t="n">
        <f aca="false">SUM(L9:L66)</f>
        <v>616944.843876361</v>
      </c>
      <c r="P67" s="26" t="n">
        <f aca="false">SUM(P9:P66)</f>
        <v>10898235.9386598</v>
      </c>
      <c r="Q67" s="26" t="n">
        <f aca="false">SUM(Q9:Q66)</f>
        <v>17845877.6489535</v>
      </c>
      <c r="R67" s="26" t="n">
        <f aca="false">SUM(R9:R66)</f>
        <v>2133746.24063575</v>
      </c>
      <c r="S67" s="26" t="n">
        <f aca="false">SUM(S9:S66)</f>
        <v>57315068.5503215</v>
      </c>
      <c r="T67" s="26" t="n">
        <f aca="false">SUM(T9:T66)</f>
        <v>31107527.0592722</v>
      </c>
      <c r="V67" s="26" t="n">
        <f aca="false">SUM(V9:V66)</f>
        <v>18741741.2324393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4" min="13" style="1" width="10"/>
    <col collapsed="false" customWidth="true" hidden="false" outlineLevel="0" max="15" min="15" style="1" width="9"/>
    <col collapsed="false" customWidth="true" hidden="false" outlineLevel="0" max="17" min="16" style="1" width="14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9"/>
    <col collapsed="false" customWidth="true" hidden="false" outlineLevel="0" max="22" min="22" style="1" width="14"/>
    <col collapsed="false" customWidth="true" hidden="false" outlineLevel="0" max="25" min="25" style="1" width="36"/>
    <col collapsed="false" customWidth="true" hidden="false" outlineLevel="0" max="28" min="28" style="1" width="14"/>
  </cols>
  <sheetData>
    <row r="1" customFormat="false" ht="15.75" hidden="false" customHeight="true" outlineLevel="0" collapsed="false">
      <c r="A1" s="2" t="s">
        <v>183</v>
      </c>
    </row>
    <row r="2" customFormat="false" ht="15" hidden="false" customHeight="true" outlineLevel="0" collapsed="false">
      <c r="A2" s="3" t="s">
        <v>149</v>
      </c>
      <c r="Y2" s="6" t="s">
        <v>150</v>
      </c>
    </row>
    <row r="3" customFormat="false" ht="15" hidden="false" customHeight="true" outlineLevel="0" collapsed="false">
      <c r="Y3" s="7" t="s">
        <v>151</v>
      </c>
      <c r="AB3" s="14" t="n">
        <f aca="false">AVERAGE(F40:F44)</f>
        <v>132840.465688488</v>
      </c>
    </row>
    <row r="4" customFormat="false" ht="15" hidden="false" customHeight="true" outlineLevel="0" collapsed="false">
      <c r="Y4" s="7" t="s">
        <v>152</v>
      </c>
      <c r="AB4" s="14" t="n">
        <f aca="false">MIN(AB3*สมมติฐาน!$D$10/สมมติฐาน!$B$48,AB3*สมมติฐาน!$B$47)</f>
        <v>92988.3259819419</v>
      </c>
    </row>
    <row r="5" customFormat="false" ht="15" hidden="false" customHeight="true" outlineLevel="0" collapsed="false">
      <c r="Y5" s="7" t="s">
        <v>153</v>
      </c>
      <c r="AB5" s="14" t="n">
        <f aca="false">MAX(0,สมมติฐาน!$B$49-AB4)</f>
        <v>0</v>
      </c>
    </row>
    <row r="6" customFormat="false" ht="15" hidden="false" customHeight="true" outlineLevel="0" collapsed="false">
      <c r="Y6" s="7" t="s">
        <v>154</v>
      </c>
      <c r="AB6" s="14" t="n">
        <f aca="false">AB4+AB5</f>
        <v>92988.3259819419</v>
      </c>
    </row>
    <row r="7" customFormat="false" ht="15" hidden="false" customHeight="true" outlineLevel="0" collapsed="false">
      <c r="Y7" s="7" t="s">
        <v>155</v>
      </c>
      <c r="AB7" s="14" t="n">
        <f aca="false">MIN(AB4*สมมติฐาน!$B$52,สมมติฐาน!$B$50)</f>
        <v>200000</v>
      </c>
    </row>
    <row r="8" customFormat="false" ht="42" hidden="false" customHeight="true" outlineLevel="0" collapsed="false">
      <c r="A8" s="8" t="s">
        <v>75</v>
      </c>
      <c r="B8" s="8" t="s">
        <v>156</v>
      </c>
      <c r="C8" s="8" t="s">
        <v>157</v>
      </c>
      <c r="D8" s="8" t="s">
        <v>158</v>
      </c>
      <c r="E8" s="8" t="s">
        <v>159</v>
      </c>
      <c r="F8" s="8" t="s">
        <v>160</v>
      </c>
      <c r="G8" s="8" t="s">
        <v>161</v>
      </c>
      <c r="H8" s="8" t="s">
        <v>162</v>
      </c>
      <c r="I8" s="8" t="s">
        <v>163</v>
      </c>
      <c r="J8" s="8" t="s">
        <v>164</v>
      </c>
      <c r="K8" s="8" t="s">
        <v>165</v>
      </c>
      <c r="L8" s="8" t="s">
        <v>166</v>
      </c>
      <c r="M8" s="8" t="s">
        <v>167</v>
      </c>
      <c r="N8" s="8" t="s">
        <v>168</v>
      </c>
      <c r="O8" s="8" t="s">
        <v>169</v>
      </c>
      <c r="P8" s="8" t="s">
        <v>170</v>
      </c>
      <c r="Q8" s="8" t="s">
        <v>171</v>
      </c>
      <c r="R8" s="8" t="s">
        <v>172</v>
      </c>
      <c r="S8" s="8" t="s">
        <v>173</v>
      </c>
      <c r="T8" s="8" t="s">
        <v>174</v>
      </c>
      <c r="U8" s="8" t="s">
        <v>175</v>
      </c>
      <c r="V8" s="8" t="s">
        <v>176</v>
      </c>
      <c r="Y8" s="7" t="s">
        <v>177</v>
      </c>
      <c r="AB8" s="14" t="n">
        <f aca="false">MIN(AB4*สมมติฐาน!$B$52,สมมติฐาน!$B$51)</f>
        <v>500000</v>
      </c>
    </row>
    <row r="9" customFormat="false" ht="15" hidden="false" customHeight="true" outlineLevel="0" collapsed="false">
      <c r="A9" s="19" t="n">
        <v>1</v>
      </c>
      <c r="B9" s="19" t="n">
        <f aca="false">สมมติฐาน!$B$42+A9-1</f>
        <v>2569</v>
      </c>
      <c r="C9" s="19" t="n">
        <f aca="false">สมมติฐาน!$D$7+A9-1</f>
        <v>24</v>
      </c>
      <c r="D9" s="20" t="str">
        <f aca="false">IF(C9&lt;สมมติฐาน!$D$8,"รับราชการ","รับบำนาญ")</f>
        <v>รับราชการ</v>
      </c>
      <c r="E9" s="21" t="n">
        <f aca="false">(1+สมมติฐาน!$B$43)^(A9-1)</f>
        <v>1</v>
      </c>
      <c r="F9" s="14" t="n">
        <f aca="false">IF(D9="รับราชการ",สมมติฐาน!$D$13*(1+สมมติฐาน!$D$15)^(A9-1)*E9,0)</f>
        <v>21180</v>
      </c>
      <c r="G9" s="14" t="n">
        <f aca="false">F9*12</f>
        <v>254160</v>
      </c>
      <c r="H9" s="14" t="n">
        <f aca="false">IF(D9="รับราชการ",IF(A9&gt;=สมมติฐาน!$D$19,สมมติฐาน!$D$18,IF(A9&gt;=สมมติฐาน!$D$17,สมมติฐาน!$D$16,0))*12*E9,0)</f>
        <v>0</v>
      </c>
      <c r="I9" s="14" t="n">
        <f aca="false">G9*สมมติฐาน!$D$21</f>
        <v>12708</v>
      </c>
      <c r="J9" s="14" t="n">
        <f aca="false">IF(AND(D9="รับราชการ",A9&lt;=สมมติฐาน!$D$23),สมมติฐาน!$D$22*12*E9,0)</f>
        <v>60000</v>
      </c>
      <c r="K9" s="14" t="n">
        <f aca="false">IF(AND(D9="รับราชการ",A9&gt;=สมมติฐาน!$D$27,A9&lt;สมมติฐาน!$D$27+สมมติฐาน!$D$28),สมมติฐาน!$D$25*สมมติฐาน!$D$26*E9,0)</f>
        <v>0</v>
      </c>
      <c r="L9" s="14" t="n">
        <f aca="false">G9*สมมติฐาน!$D$20</f>
        <v>10166.4</v>
      </c>
      <c r="M9" s="19" t="n">
        <f aca="false">IF(D9="รับราชการ",สมมติฐาน!$D$30+IF(AND(A9&gt;=สมมติฐาน!$D$32,A9&lt;=สมมติฐาน!$D$33),สมมติฐาน!$D$31,0),0)</f>
        <v>2</v>
      </c>
      <c r="N9" s="19" t="n">
        <f aca="false">IF(AND(A9&gt;=สมมติฐาน!$D$35,A9&lt;=สมมติฐาน!$D$36),สมมติฐาน!$D$34,0)+IF(D9="รับราชการ",0,สมมติฐาน!$D$37)</f>
        <v>2</v>
      </c>
      <c r="O9" s="21" t="n">
        <f aca="false">(1+สมมติฐาน!$B$43)^(A9-1)*(1+สมมติฐาน!$B$44)^(A9-1)</f>
        <v>1</v>
      </c>
      <c r="P9" s="14" t="n">
        <f aca="false">(M9*สมมติฐาน!$D$38+N9*สมมติฐาน!$D$39)*O9</f>
        <v>74000</v>
      </c>
      <c r="Q9" s="14" t="n">
        <f aca="false">IF(D9="รับราชการ",0,$AB$6*12*(1+สมมติฐาน!$B$46)^(A9-36-1))</f>
        <v>0</v>
      </c>
      <c r="R9" s="14" t="n">
        <f aca="false">IF(C9=สมมติฐาน!$D$8,$AB$7,0)+IF(C9=65,$AB$9,0)+IF(A9=62,$AB$10+$AB$11,0)</f>
        <v>0</v>
      </c>
      <c r="S9" s="14" t="n">
        <f aca="false">G9+H9+I9+J9+K9+L9+P9+Q9+R9</f>
        <v>411034.4</v>
      </c>
      <c r="T9" s="14" t="n">
        <f aca="false">S9/E9</f>
        <v>411034.4</v>
      </c>
      <c r="U9" s="21" t="n">
        <f aca="false">1/(1+สมมติฐาน!$B$45)^(A9-1)</f>
        <v>1</v>
      </c>
      <c r="V9" s="14" t="n">
        <f aca="false">S9*U9</f>
        <v>411034.4</v>
      </c>
      <c r="Y9" s="7" t="s">
        <v>178</v>
      </c>
      <c r="AB9" s="14" t="n">
        <f aca="false">AB8-AB7</f>
        <v>300000</v>
      </c>
    </row>
    <row r="10" customFormat="false" ht="15" hidden="false" customHeight="true" outlineLevel="0" collapsed="false">
      <c r="A10" s="22" t="n">
        <v>2</v>
      </c>
      <c r="B10" s="22" t="n">
        <f aca="false">สมมติฐาน!$B$42+A10-1</f>
        <v>2570</v>
      </c>
      <c r="C10" s="22" t="n">
        <f aca="false">สมมติฐาน!$D$7+A10-1</f>
        <v>25</v>
      </c>
      <c r="D10" s="23" t="str">
        <f aca="false">IF(C10&lt;สมมติฐาน!$D$8,"รับราชการ","รับบำนาญ")</f>
        <v>รับราชการ</v>
      </c>
      <c r="E10" s="24" t="n">
        <f aca="false">(1+สมมติฐาน!$B$43)^(A10-1)</f>
        <v>1.02</v>
      </c>
      <c r="F10" s="25" t="n">
        <f aca="false">IF(D10="รับราชการ",สมมติฐาน!$D$13*(1+สมมติฐาน!$D$15)^(A10-1)*E10,0)</f>
        <v>22389.7451028721</v>
      </c>
      <c r="G10" s="25" t="n">
        <f aca="false">F10*12</f>
        <v>268676.941234466</v>
      </c>
      <c r="H10" s="25" t="n">
        <f aca="false">IF(D10="รับราชการ",IF(A10&gt;=สมมติฐาน!$D$19,สมมติฐาน!$D$18,IF(A10&gt;=สมมติฐาน!$D$17,สมมติฐาน!$D$16,0))*12*E10,0)</f>
        <v>0</v>
      </c>
      <c r="I10" s="25" t="n">
        <f aca="false">G10*สมมติฐาน!$D$21</f>
        <v>13433.8470617233</v>
      </c>
      <c r="J10" s="25" t="n">
        <f aca="false">IF(AND(D10="รับราชการ",A10&lt;=สมมติฐาน!$D$23),สมมติฐาน!$D$22*12*E10,0)</f>
        <v>61200</v>
      </c>
      <c r="K10" s="25" t="n">
        <f aca="false">IF(AND(D10="รับราชการ",A10&gt;=สมมติฐาน!$D$27,A10&lt;สมมติฐาน!$D$27+สมมติฐาน!$D$28),สมมติฐาน!$D$25*สมมติฐาน!$D$26*E10,0)</f>
        <v>0</v>
      </c>
      <c r="L10" s="25" t="n">
        <f aca="false">G10*สมมติฐาน!$D$20</f>
        <v>10747.0776493786</v>
      </c>
      <c r="M10" s="22" t="n">
        <f aca="false">IF(D10="รับราชการ",สมมติฐาน!$D$30+IF(AND(A10&gt;=สมมติฐาน!$D$32,A10&lt;=สมมติฐาน!$D$33),สมมติฐาน!$D$31,0),0)</f>
        <v>2</v>
      </c>
      <c r="N10" s="22" t="n">
        <f aca="false">IF(AND(A10&gt;=สมมติฐาน!$D$35,A10&lt;=สมมติฐาน!$D$36),สมมติฐาน!$D$34,0)+IF(D10="รับราชการ",0,สมมติฐาน!$D$37)</f>
        <v>2</v>
      </c>
      <c r="O10" s="24" t="n">
        <f aca="false">(1+สมมติฐาน!$B$43)^(A10-1)*(1+สมมติฐาน!$B$44)^(A10-1)</f>
        <v>1.0404</v>
      </c>
      <c r="P10" s="25" t="n">
        <f aca="false">(M10*สมมติฐาน!$D$38+N10*สมมติฐาน!$D$39)*O10</f>
        <v>76989.6</v>
      </c>
      <c r="Q10" s="25" t="n">
        <f aca="false">IF(D10="รับราชการ",0,$AB$6*12*(1+สมมติฐาน!$B$46)^(A10-36-1))</f>
        <v>0</v>
      </c>
      <c r="R10" s="25" t="n">
        <f aca="false">IF(C10=สมมติฐาน!$D$8,$AB$7,0)+IF(C10=65,$AB$9,0)+IF(A10=62,$AB$10+$AB$11,0)</f>
        <v>0</v>
      </c>
      <c r="S10" s="25" t="n">
        <f aca="false">G10+H10+I10+J10+K10+L10+P10+Q10+R10</f>
        <v>431047.465945568</v>
      </c>
      <c r="T10" s="25" t="n">
        <f aca="false">S10/E10</f>
        <v>422595.554848596</v>
      </c>
      <c r="U10" s="24" t="n">
        <f aca="false">1/(1+สมมติฐาน!$B$45)^(A10-1)</f>
        <v>0.961538461538462</v>
      </c>
      <c r="V10" s="25" t="n">
        <f aca="false">S10*U10</f>
        <v>414468.717255354</v>
      </c>
      <c r="Y10" s="7" t="s">
        <v>179</v>
      </c>
      <c r="AB10" s="14" t="n">
        <f aca="false">MAX(0,AB6*สมมติฐาน!$B$53-AB8)</f>
        <v>2289649.77945826</v>
      </c>
    </row>
    <row r="11" customFormat="false" ht="15" hidden="false" customHeight="true" outlineLevel="0" collapsed="false">
      <c r="A11" s="19" t="n">
        <v>3</v>
      </c>
      <c r="B11" s="19" t="n">
        <f aca="false">สมมติฐาน!$B$42+A11-1</f>
        <v>2571</v>
      </c>
      <c r="C11" s="19" t="n">
        <f aca="false">สมมติฐาน!$D$7+A11-1</f>
        <v>26</v>
      </c>
      <c r="D11" s="20" t="str">
        <f aca="false">IF(C11&lt;สมมติฐาน!$D$8,"รับราชการ","รับบำนาญ")</f>
        <v>รับราชการ</v>
      </c>
      <c r="E11" s="21" t="n">
        <f aca="false">(1+สมมติฐาน!$B$43)^(A11-1)</f>
        <v>1.0404</v>
      </c>
      <c r="F11" s="14" t="n">
        <f aca="false">IF(D11="รับราชการ",สมมติฐาน!$D$13*(1+สมมติฐาน!$D$15)^(A11-1)*E11,0)</f>
        <v>23668.5876190551</v>
      </c>
      <c r="G11" s="14" t="n">
        <f aca="false">F11*12</f>
        <v>284023.051428661</v>
      </c>
      <c r="H11" s="14" t="n">
        <f aca="false">IF(D11="รับราชการ",IF(A11&gt;=สมมติฐาน!$D$19,สมมติฐาน!$D$18,IF(A11&gt;=สมมติฐาน!$D$17,สมมติฐาน!$D$16,0))*12*E11,0)</f>
        <v>0</v>
      </c>
      <c r="I11" s="14" t="n">
        <f aca="false">G11*สมมติฐาน!$D$21</f>
        <v>14201.1525714331</v>
      </c>
      <c r="J11" s="14" t="n">
        <f aca="false">IF(AND(D11="รับราชการ",A11&lt;=สมมติฐาน!$D$23),สมมติฐาน!$D$22*12*E11,0)</f>
        <v>62424</v>
      </c>
      <c r="K11" s="14" t="n">
        <f aca="false">IF(AND(D11="รับราชการ",A11&gt;=สมมติฐาน!$D$27,A11&lt;สมมติฐาน!$D$27+สมมติฐาน!$D$28),สมมติฐาน!$D$25*สมมติฐาน!$D$26*E11,0)</f>
        <v>0</v>
      </c>
      <c r="L11" s="14" t="n">
        <f aca="false">G11*สมมติฐาน!$D$20</f>
        <v>11360.9220571465</v>
      </c>
      <c r="M11" s="19" t="n">
        <f aca="false">IF(D11="รับราชการ",สมมติฐาน!$D$30+IF(AND(A11&gt;=สมมติฐาน!$D$32,A11&lt;=สมมติฐาน!$D$33),สมมติฐาน!$D$31,0),0)</f>
        <v>2</v>
      </c>
      <c r="N11" s="19" t="n">
        <f aca="false">IF(AND(A11&gt;=สมมติฐาน!$D$35,A11&lt;=สมมติฐาน!$D$36),สมมติฐาน!$D$34,0)+IF(D11="รับราชการ",0,สมมติฐาน!$D$37)</f>
        <v>2</v>
      </c>
      <c r="O11" s="21" t="n">
        <f aca="false">(1+สมมติฐาน!$B$43)^(A11-1)*(1+สมมติฐาน!$B$44)^(A11-1)</f>
        <v>1.08243216</v>
      </c>
      <c r="P11" s="14" t="n">
        <f aca="false">(M11*สมมติฐาน!$D$38+N11*สมมติฐาน!$D$39)*O11</f>
        <v>80099.97984</v>
      </c>
      <c r="Q11" s="14" t="n">
        <f aca="false">IF(D11="รับราชการ",0,$AB$6*12*(1+สมมติฐาน!$B$46)^(A11-36-1))</f>
        <v>0</v>
      </c>
      <c r="R11" s="14" t="n">
        <f aca="false">IF(C11=สมมติฐาน!$D$8,$AB$7,0)+IF(C11=65,$AB$9,0)+IF(A11=62,$AB$10+$AB$11,0)</f>
        <v>0</v>
      </c>
      <c r="S11" s="14" t="n">
        <f aca="false">G11+H11+I11+J11+K11+L11+P11+Q11+R11</f>
        <v>452109.105897241</v>
      </c>
      <c r="T11" s="14" t="n">
        <f aca="false">S11/E11</f>
        <v>434553.158301846</v>
      </c>
      <c r="U11" s="21" t="n">
        <f aca="false">1/(1+สมมติฐาน!$B$45)^(A11-1)</f>
        <v>0.924556213017751</v>
      </c>
      <c r="V11" s="14" t="n">
        <f aca="false">S11*U11</f>
        <v>418000.282819195</v>
      </c>
      <c r="Y11" s="7" t="s">
        <v>180</v>
      </c>
      <c r="AB11" s="14" t="n">
        <f aca="false">AB6*สมมติฐาน!$B$54</f>
        <v>278964.977945826</v>
      </c>
    </row>
    <row r="12" customFormat="false" ht="15" hidden="false" customHeight="true" outlineLevel="0" collapsed="false">
      <c r="A12" s="22" t="n">
        <v>4</v>
      </c>
      <c r="B12" s="22" t="n">
        <f aca="false">สมมติฐาน!$B$42+A12-1</f>
        <v>2572</v>
      </c>
      <c r="C12" s="22" t="n">
        <f aca="false">สมมติฐาน!$D$7+A12-1</f>
        <v>27</v>
      </c>
      <c r="D12" s="23" t="str">
        <f aca="false">IF(C12&lt;สมมติฐาน!$D$8,"รับราชการ","รับบำนาญ")</f>
        <v>รับราชการ</v>
      </c>
      <c r="E12" s="24" t="n">
        <f aca="false">(1+สมมติฐาน!$B$43)^(A12-1)</f>
        <v>1.061208</v>
      </c>
      <c r="F12" s="25" t="n">
        <f aca="false">IF(D12="รับราชการ",สมมติฐาน!$D$13*(1+สมมติฐาน!$D$15)^(A12-1)*E12,0)</f>
        <v>25020.4742084816</v>
      </c>
      <c r="G12" s="25" t="n">
        <f aca="false">F12*12</f>
        <v>300245.690501779</v>
      </c>
      <c r="H12" s="25" t="n">
        <f aca="false">IF(D12="รับราชการ",IF(A12&gt;=สมมติฐาน!$D$19,สมมติฐาน!$D$18,IF(A12&gt;=สมมติฐาน!$D$17,สมมติฐาน!$D$16,0))*12*E12,0)</f>
        <v>0</v>
      </c>
      <c r="I12" s="25" t="n">
        <f aca="false">G12*สมมติฐาน!$D$21</f>
        <v>15012.2845250889</v>
      </c>
      <c r="J12" s="25" t="n">
        <f aca="false">IF(AND(D12="รับราชการ",A12&lt;=สมมติฐาน!$D$23),สมมติฐาน!$D$22*12*E12,0)</f>
        <v>63672.48</v>
      </c>
      <c r="K12" s="25" t="n">
        <f aca="false">IF(AND(D12="รับราชการ",A12&gt;=สมมติฐาน!$D$27,A12&lt;สมมติฐาน!$D$27+สมมติฐาน!$D$28),สมมติฐาน!$D$25*สมมติฐาน!$D$26*E12,0)</f>
        <v>0</v>
      </c>
      <c r="L12" s="25" t="n">
        <f aca="false">G12*สมมติฐาน!$D$20</f>
        <v>12009.8276200712</v>
      </c>
      <c r="M12" s="22" t="n">
        <f aca="false">IF(D12="รับราชการ",สมมติฐาน!$D$30+IF(AND(A12&gt;=สมมติฐาน!$D$32,A12&lt;=สมมติฐาน!$D$33),สมมติฐาน!$D$31,0),0)</f>
        <v>2</v>
      </c>
      <c r="N12" s="22" t="n">
        <f aca="false">IF(AND(A12&gt;=สมมติฐาน!$D$35,A12&lt;=สมมติฐาน!$D$36),สมมติฐาน!$D$34,0)+IF(D12="รับราชการ",0,สมมติฐาน!$D$37)</f>
        <v>2</v>
      </c>
      <c r="O12" s="24" t="n">
        <f aca="false">(1+สมมติฐาน!$B$43)^(A12-1)*(1+สมมติฐาน!$B$44)^(A12-1)</f>
        <v>1.126162419264</v>
      </c>
      <c r="P12" s="25" t="n">
        <f aca="false">(M12*สมมติฐาน!$D$38+N12*สมมติฐาน!$D$39)*O12</f>
        <v>83336.019025536</v>
      </c>
      <c r="Q12" s="25" t="n">
        <f aca="false">IF(D12="รับราชการ",0,$AB$6*12*(1+สมมติฐาน!$B$46)^(A12-36-1))</f>
        <v>0</v>
      </c>
      <c r="R12" s="25" t="n">
        <f aca="false">IF(C12=สมมติฐาน!$D$8,$AB$7,0)+IF(C12=65,$AB$9,0)+IF(A12=62,$AB$10+$AB$11,0)</f>
        <v>0</v>
      </c>
      <c r="S12" s="25" t="n">
        <f aca="false">G12+H12+I12+J12+K12+L12+P12+Q12+R12</f>
        <v>474276.301672475</v>
      </c>
      <c r="T12" s="25" t="n">
        <f aca="false">S12/E12</f>
        <v>446921.151812345</v>
      </c>
      <c r="U12" s="24" t="n">
        <f aca="false">1/(1+สมมติฐาน!$B$45)^(A12-1)</f>
        <v>0.888996358670915</v>
      </c>
      <c r="V12" s="25" t="n">
        <f aca="false">S12*U12</f>
        <v>421629.905190739</v>
      </c>
    </row>
    <row r="13" customFormat="false" ht="15" hidden="false" customHeight="true" outlineLevel="0" collapsed="false">
      <c r="A13" s="19" t="n">
        <v>5</v>
      </c>
      <c r="B13" s="19" t="n">
        <f aca="false">สมมติฐาน!$B$42+A13-1</f>
        <v>2573</v>
      </c>
      <c r="C13" s="19" t="n">
        <f aca="false">สมมติฐาน!$D$7+A13-1</f>
        <v>28</v>
      </c>
      <c r="D13" s="20" t="str">
        <f aca="false">IF(C13&lt;สมมติฐาน!$D$8,"รับราชการ","รับบำนาญ")</f>
        <v>รับราชการ</v>
      </c>
      <c r="E13" s="21" t="n">
        <f aca="false">(1+สมมติฐาน!$B$43)^(A13-1)</f>
        <v>1.08243216</v>
      </c>
      <c r="F13" s="14" t="n">
        <f aca="false">IF(D13="รับราชการ",สมมติฐาน!$D$13*(1+สมมติฐาน!$D$15)^(A13-1)*E13,0)</f>
        <v>26449.5769537719</v>
      </c>
      <c r="G13" s="14" t="n">
        <f aca="false">F13*12</f>
        <v>317394.923445263</v>
      </c>
      <c r="H13" s="14" t="n">
        <f aca="false">IF(D13="รับราชการ",IF(A13&gt;=สมมติฐาน!$D$19,สมมติฐาน!$D$18,IF(A13&gt;=สมมติฐาน!$D$17,สมมติฐาน!$D$16,0))*12*E13,0)</f>
        <v>0</v>
      </c>
      <c r="I13" s="14" t="n">
        <f aca="false">G13*สมมติฐาน!$D$21</f>
        <v>15869.7461722631</v>
      </c>
      <c r="J13" s="14" t="n">
        <f aca="false">IF(AND(D13="รับราชการ",A13&lt;=สมมติฐาน!$D$23),สมมติฐาน!$D$22*12*E13,0)</f>
        <v>64945.9296</v>
      </c>
      <c r="K13" s="14" t="n">
        <f aca="false">IF(AND(D13="รับราชการ",A13&gt;=สมมติฐาน!$D$27,A13&lt;สมมติฐาน!$D$27+สมมติฐาน!$D$28),สมมติฐาน!$D$25*สมมติฐาน!$D$26*E13,0)</f>
        <v>0</v>
      </c>
      <c r="L13" s="14" t="n">
        <f aca="false">G13*สมมติฐาน!$D$20</f>
        <v>12695.7969378105</v>
      </c>
      <c r="M13" s="19" t="n">
        <f aca="false">IF(D13="รับราชการ",สมมติฐาน!$D$30+IF(AND(A13&gt;=สมมติฐาน!$D$32,A13&lt;=สมมติฐาน!$D$33),สมมติฐาน!$D$31,0),0)</f>
        <v>2</v>
      </c>
      <c r="N13" s="19" t="n">
        <f aca="false">IF(AND(A13&gt;=สมมติฐาน!$D$35,A13&lt;=สมมติฐาน!$D$36),สมมติฐาน!$D$34,0)+IF(D13="รับราชการ",0,สมมติฐาน!$D$37)</f>
        <v>2</v>
      </c>
      <c r="O13" s="21" t="n">
        <f aca="false">(1+สมมติฐาน!$B$43)^(A13-1)*(1+สมมติฐาน!$B$44)^(A13-1)</f>
        <v>1.17165938100227</v>
      </c>
      <c r="P13" s="14" t="n">
        <f aca="false">(M13*สมมติฐาน!$D$38+N13*สมมติฐาน!$D$39)*O13</f>
        <v>86702.7941941677</v>
      </c>
      <c r="Q13" s="14" t="n">
        <f aca="false">IF(D13="รับราชการ",0,$AB$6*12*(1+สมมติฐาน!$B$46)^(A13-36-1))</f>
        <v>0</v>
      </c>
      <c r="R13" s="14" t="n">
        <f aca="false">IF(C13=สมมติฐาน!$D$8,$AB$7,0)+IF(C13=65,$AB$9,0)+IF(A13=62,$AB$10+$AB$11,0)</f>
        <v>0</v>
      </c>
      <c r="S13" s="14" t="n">
        <f aca="false">G13+H13+I13+J13+K13+L13+P13+Q13+R13</f>
        <v>497609.190349504</v>
      </c>
      <c r="T13" s="14" t="n">
        <f aca="false">S13/E13</f>
        <v>459713.974453147</v>
      </c>
      <c r="U13" s="21" t="n">
        <f aca="false">1/(1+สมมติฐาน!$B$45)^(A13-1)</f>
        <v>0.854804191029726</v>
      </c>
      <c r="V13" s="14" t="n">
        <f aca="false">S13*U13</f>
        <v>425358.421405665</v>
      </c>
    </row>
    <row r="14" customFormat="false" ht="15" hidden="false" customHeight="true" outlineLevel="0" collapsed="false">
      <c r="A14" s="22" t="n">
        <v>6</v>
      </c>
      <c r="B14" s="22" t="n">
        <f aca="false">สมมติฐาน!$B$42+A14-1</f>
        <v>2574</v>
      </c>
      <c r="C14" s="22" t="n">
        <f aca="false">สมมติฐาน!$D$7+A14-1</f>
        <v>29</v>
      </c>
      <c r="D14" s="23" t="str">
        <f aca="false">IF(C14&lt;สมมติฐาน!$D$8,"รับราชการ","รับบำนาญ")</f>
        <v>รับราชการ</v>
      </c>
      <c r="E14" s="24" t="n">
        <f aca="false">(1+สมมติฐาน!$B$43)^(A14-1)</f>
        <v>1.1040808032</v>
      </c>
      <c r="F14" s="25" t="n">
        <f aca="false">IF(D14="รับราชการ",สมมติฐาน!$D$13*(1+สมมติฐาน!$D$15)^(A14-1)*E14,0)</f>
        <v>27960.3062357769</v>
      </c>
      <c r="G14" s="25" t="n">
        <f aca="false">F14*12</f>
        <v>335523.674829323</v>
      </c>
      <c r="H14" s="25" t="n">
        <f aca="false">IF(D14="รับราชการ",IF(A14&gt;=สมมติฐาน!$D$19,สมมติฐาน!$D$18,IF(A14&gt;=สมมติฐาน!$D$17,สมมติฐาน!$D$16,0))*12*E14,0)</f>
        <v>0</v>
      </c>
      <c r="I14" s="25" t="n">
        <f aca="false">G14*สมมติฐาน!$D$21</f>
        <v>16776.1837414661</v>
      </c>
      <c r="J14" s="25" t="n">
        <f aca="false">IF(AND(D14="รับราชการ",A14&lt;=สมมติฐาน!$D$23),สมมติฐาน!$D$22*12*E14,0)</f>
        <v>66244.848192</v>
      </c>
      <c r="K14" s="25" t="n">
        <f aca="false">IF(AND(D14="รับราชการ",A14&gt;=สมมติฐาน!$D$27,A14&lt;สมมติฐาน!$D$27+สมมติฐาน!$D$28),สมมติฐาน!$D$25*สมมติฐาน!$D$26*E14,0)</f>
        <v>0</v>
      </c>
      <c r="L14" s="25" t="n">
        <f aca="false">G14*สมมติฐาน!$D$20</f>
        <v>13420.9469931729</v>
      </c>
      <c r="M14" s="22" t="n">
        <f aca="false">IF(D14="รับราชการ",สมมติฐาน!$D$30+IF(AND(A14&gt;=สมมติฐาน!$D$32,A14&lt;=สมมติฐาน!$D$33),สมมติฐาน!$D$31,0),0)</f>
        <v>2</v>
      </c>
      <c r="N14" s="22" t="n">
        <f aca="false">IF(AND(A14&gt;=สมมติฐาน!$D$35,A14&lt;=สมมติฐาน!$D$36),สมมติฐาน!$D$34,0)+IF(D14="รับราชการ",0,สมมติฐาน!$D$37)</f>
        <v>2</v>
      </c>
      <c r="O14" s="24" t="n">
        <f aca="false">(1+สมมติฐาน!$B$43)^(A14-1)*(1+สมมติฐาน!$B$44)^(A14-1)</f>
        <v>1.21899441999476</v>
      </c>
      <c r="P14" s="25" t="n">
        <f aca="false">(M14*สมมติฐาน!$D$38+N14*สมมติฐาน!$D$39)*O14</f>
        <v>90205.587079612</v>
      </c>
      <c r="Q14" s="25" t="n">
        <f aca="false">IF(D14="รับราชการ",0,$AB$6*12*(1+สมมติฐาน!$B$46)^(A14-36-1))</f>
        <v>0</v>
      </c>
      <c r="R14" s="25" t="n">
        <f aca="false">IF(C14=สมมติฐาน!$D$8,$AB$7,0)+IF(C14=65,$AB$9,0)+IF(A14=62,$AB$10+$AB$11,0)</f>
        <v>0</v>
      </c>
      <c r="S14" s="25" t="n">
        <f aca="false">G14+H14+I14+J14+K14+L14+P14+Q14+R14</f>
        <v>522171.240835574</v>
      </c>
      <c r="T14" s="25" t="n">
        <f aca="false">S14/E14</f>
        <v>472946.580831896</v>
      </c>
      <c r="U14" s="24" t="n">
        <f aca="false">1/(1+สมมติฐาน!$B$45)^(A14-1)</f>
        <v>0.821927106759352</v>
      </c>
      <c r="V14" s="25" t="n">
        <f aca="false">S14*U14</f>
        <v>429186.697212924</v>
      </c>
    </row>
    <row r="15" customFormat="false" ht="15" hidden="false" customHeight="true" outlineLevel="0" collapsed="false">
      <c r="A15" s="19" t="n">
        <v>7</v>
      </c>
      <c r="B15" s="19" t="n">
        <f aca="false">สมมติฐาน!$B$42+A15-1</f>
        <v>2575</v>
      </c>
      <c r="C15" s="19" t="n">
        <f aca="false">สมมติฐาน!$D$7+A15-1</f>
        <v>30</v>
      </c>
      <c r="D15" s="20" t="str">
        <f aca="false">IF(C15&lt;สมมติฐาน!$D$8,"รับราชการ","รับบำนาญ")</f>
        <v>รับราชการ</v>
      </c>
      <c r="E15" s="21" t="n">
        <f aca="false">(1+สมมติฐาน!$B$43)^(A15-1)</f>
        <v>1.126162419264</v>
      </c>
      <c r="F15" s="14" t="n">
        <f aca="false">IF(D15="รับราชการ",สมมติฐาน!$D$13*(1+สมมติฐาน!$D$15)^(A15-1)*E15,0)</f>
        <v>29557.3243445369</v>
      </c>
      <c r="G15" s="14" t="n">
        <f aca="false">F15*12</f>
        <v>354687.892134443</v>
      </c>
      <c r="H15" s="14" t="n">
        <f aca="false">IF(D15="รับราชการ",IF(A15&gt;=สมมติฐาน!$D$19,สมมติฐาน!$D$18,IF(A15&gt;=สมมติฐาน!$D$17,สมมติฐาน!$D$16,0))*12*E15,0)</f>
        <v>0</v>
      </c>
      <c r="I15" s="14" t="n">
        <f aca="false">G15*สมมติฐาน!$D$21</f>
        <v>17734.3946067221</v>
      </c>
      <c r="J15" s="14" t="n">
        <f aca="false">IF(AND(D15="รับราชการ",A15&lt;=สมมติฐาน!$D$23),สมมติฐาน!$D$22*12*E15,0)</f>
        <v>67569.74515584</v>
      </c>
      <c r="K15" s="14" t="n">
        <f aca="false">IF(AND(D15="รับราชการ",A15&gt;=สมมติฐาน!$D$27,A15&lt;สมมติฐาน!$D$27+สมมติฐาน!$D$28),สมมติฐาน!$D$25*สมมติฐาน!$D$26*E15,0)</f>
        <v>0</v>
      </c>
      <c r="L15" s="14" t="n">
        <f aca="false">G15*สมมติฐาน!$D$20</f>
        <v>14187.5156853777</v>
      </c>
      <c r="M15" s="19" t="n">
        <f aca="false">IF(D15="รับราชการ",สมมติฐาน!$D$30+IF(AND(A15&gt;=สมมติฐาน!$D$32,A15&lt;=สมมติฐาน!$D$33),สมมติฐาน!$D$31,0),0)</f>
        <v>2</v>
      </c>
      <c r="N15" s="19" t="n">
        <f aca="false">IF(AND(A15&gt;=สมมติฐาน!$D$35,A15&lt;=สมมติฐาน!$D$36),สมมติฐาน!$D$34,0)+IF(D15="รับราชการ",0,สมมติฐาน!$D$37)</f>
        <v>2</v>
      </c>
      <c r="O15" s="21" t="n">
        <f aca="false">(1+สมมติฐาน!$B$43)^(A15-1)*(1+สมมติฐาน!$B$44)^(A15-1)</f>
        <v>1.26824179456255</v>
      </c>
      <c r="P15" s="14" t="n">
        <f aca="false">(M15*สมมติฐาน!$D$38+N15*สมมติฐาน!$D$39)*O15</f>
        <v>93849.8927976284</v>
      </c>
      <c r="Q15" s="14" t="n">
        <f aca="false">IF(D15="รับราชการ",0,$AB$6*12*(1+สมมติฐาน!$B$46)^(A15-36-1))</f>
        <v>0</v>
      </c>
      <c r="R15" s="14" t="n">
        <f aca="false">IF(C15=สมมติฐาน!$D$8,$AB$7,0)+IF(C15=65,$AB$9,0)+IF(A15=62,$AB$10+$AB$11,0)</f>
        <v>0</v>
      </c>
      <c r="S15" s="14" t="n">
        <f aca="false">G15+H15+I15+J15+K15+L15+P15+Q15+R15</f>
        <v>548029.440380011</v>
      </c>
      <c r="T15" s="14" t="n">
        <f aca="false">S15/E15</f>
        <v>486634.459652964</v>
      </c>
      <c r="U15" s="21" t="n">
        <f aca="false">1/(1+สมมติฐาน!$B$45)^(A15-1)</f>
        <v>0.790314525730146</v>
      </c>
      <c r="V15" s="14" t="n">
        <f aca="false">S15*U15</f>
        <v>433115.627260086</v>
      </c>
    </row>
    <row r="16" customFormat="false" ht="15" hidden="false" customHeight="true" outlineLevel="0" collapsed="false">
      <c r="A16" s="22" t="n">
        <v>8</v>
      </c>
      <c r="B16" s="22" t="n">
        <f aca="false">สมมติฐาน!$B$42+A16-1</f>
        <v>2576</v>
      </c>
      <c r="C16" s="22" t="n">
        <f aca="false">สมมติฐาน!$D$7+A16-1</f>
        <v>31</v>
      </c>
      <c r="D16" s="23" t="str">
        <f aca="false">IF(C16&lt;สมมติฐาน!$D$8,"รับราชการ","รับบำนาญ")</f>
        <v>รับราชการ</v>
      </c>
      <c r="E16" s="24" t="n">
        <f aca="false">(1+สมมติฐาน!$B$43)^(A16-1)</f>
        <v>1.14868566764928</v>
      </c>
      <c r="F16" s="25" t="n">
        <f aca="false">IF(D16="รับราชการ",สมมติฐาน!$D$13*(1+สมมติฐาน!$D$15)^(A16-1)*E16,0)</f>
        <v>31245.5598676628</v>
      </c>
      <c r="G16" s="25" t="n">
        <f aca="false">F16*12</f>
        <v>374946.718411954</v>
      </c>
      <c r="H16" s="25" t="n">
        <f aca="false">IF(D16="รับราชการ",IF(A16&gt;=สมมติฐาน!$D$19,สมมติฐาน!$D$18,IF(A16&gt;=สมมติฐาน!$D$17,สมมติฐาน!$D$16,0))*12*E16,0)</f>
        <v>0</v>
      </c>
      <c r="I16" s="25" t="n">
        <f aca="false">G16*สมมติฐาน!$D$21</f>
        <v>18747.3359205977</v>
      </c>
      <c r="J16" s="25" t="n">
        <f aca="false">IF(AND(D16="รับราชการ",A16&lt;=สมมติฐาน!$D$23),สมมติฐาน!$D$22*12*E16,0)</f>
        <v>68921.1400589568</v>
      </c>
      <c r="K16" s="25" t="n">
        <f aca="false">IF(AND(D16="รับราชการ",A16&gt;=สมมติฐาน!$D$27,A16&lt;สมมติฐาน!$D$27+สมมติฐาน!$D$28),สมมติฐาน!$D$25*สมมติฐาน!$D$26*E16,0)</f>
        <v>57434.283382464</v>
      </c>
      <c r="L16" s="25" t="n">
        <f aca="false">G16*สมมติฐาน!$D$20</f>
        <v>14997.8687364782</v>
      </c>
      <c r="M16" s="22" t="n">
        <f aca="false">IF(D16="รับราชการ",สมมติฐาน!$D$30+IF(AND(A16&gt;=สมมติฐาน!$D$32,A16&lt;=สมมติฐาน!$D$33),สมมติฐาน!$D$31,0),0)</f>
        <v>4</v>
      </c>
      <c r="N16" s="22" t="n">
        <f aca="false">IF(AND(A16&gt;=สมมติฐาน!$D$35,A16&lt;=สมมติฐาน!$D$36),สมมติฐาน!$D$34,0)+IF(D16="รับราชการ",0,สมมติฐาน!$D$37)</f>
        <v>2</v>
      </c>
      <c r="O16" s="24" t="n">
        <f aca="false">(1+สมมติฐาน!$B$43)^(A16-1)*(1+สมมติฐาน!$B$44)^(A16-1)</f>
        <v>1.31947876306287</v>
      </c>
      <c r="P16" s="25" t="n">
        <f aca="false">(M16*สมมติฐาน!$D$38+N16*สมมติฐาน!$D$39)*O16</f>
        <v>121392.046201784</v>
      </c>
      <c r="Q16" s="25" t="n">
        <f aca="false">IF(D16="รับราชการ",0,$AB$6*12*(1+สมมติฐาน!$B$46)^(A16-36-1))</f>
        <v>0</v>
      </c>
      <c r="R16" s="25" t="n">
        <f aca="false">IF(C16=สมมติฐาน!$D$8,$AB$7,0)+IF(C16=65,$AB$9,0)+IF(A16=62,$AB$10+$AB$11,0)</f>
        <v>0</v>
      </c>
      <c r="S16" s="25" t="n">
        <f aca="false">G16+H16+I16+J16+K16+L16+P16+Q16+R16</f>
        <v>656439.392712235</v>
      </c>
      <c r="T16" s="25" t="n">
        <f aca="false">S16/E16</f>
        <v>571469.994968772</v>
      </c>
      <c r="U16" s="24" t="n">
        <f aca="false">1/(1+สมมติฐาน!$B$45)^(A16-1)</f>
        <v>0.759917813202063</v>
      </c>
      <c r="V16" s="25" t="n">
        <f aca="false">S16*U16</f>
        <v>498839.987809572</v>
      </c>
    </row>
    <row r="17" customFormat="false" ht="15" hidden="false" customHeight="true" outlineLevel="0" collapsed="false">
      <c r="A17" s="19" t="n">
        <v>9</v>
      </c>
      <c r="B17" s="19" t="n">
        <f aca="false">สมมติฐาน!$B$42+A17-1</f>
        <v>2577</v>
      </c>
      <c r="C17" s="19" t="n">
        <f aca="false">สมมติฐาน!$D$7+A17-1</f>
        <v>32</v>
      </c>
      <c r="D17" s="20" t="str">
        <f aca="false">IF(C17&lt;สมมติฐาน!$D$8,"รับราชการ","รับบำนาญ")</f>
        <v>รับราชการ</v>
      </c>
      <c r="E17" s="21" t="n">
        <f aca="false">(1+สมมติฐาน!$B$43)^(A17-1)</f>
        <v>1.17165938100227</v>
      </c>
      <c r="F17" s="14" t="n">
        <f aca="false">IF(D17="รับราชการ",สมมติฐาน!$D$13*(1+สมมติฐาน!$D$15)^(A17-1)*E17,0)</f>
        <v>33030.2229005431</v>
      </c>
      <c r="G17" s="14" t="n">
        <f aca="false">F17*12</f>
        <v>396362.674806517</v>
      </c>
      <c r="H17" s="14" t="n">
        <f aca="false">IF(D17="รับราชการ",IF(A17&gt;=สมมติฐาน!$D$19,สมมติฐาน!$D$18,IF(A17&gt;=สมมติฐาน!$D$17,สมมติฐาน!$D$16,0))*12*E17,0)</f>
        <v>0</v>
      </c>
      <c r="I17" s="14" t="n">
        <f aca="false">G17*สมมติฐาน!$D$21</f>
        <v>19818.1337403259</v>
      </c>
      <c r="J17" s="14" t="n">
        <f aca="false">IF(AND(D17="รับราชการ",A17&lt;=สมมติฐาน!$D$23),สมมติฐาน!$D$22*12*E17,0)</f>
        <v>70299.562860136</v>
      </c>
      <c r="K17" s="14" t="n">
        <f aca="false">IF(AND(D17="รับราชการ",A17&gt;=สมมติฐาน!$D$27,A17&lt;สมมติฐาน!$D$27+สมมติฐาน!$D$28),สมมติฐาน!$D$25*สมมติฐาน!$D$26*E17,0)</f>
        <v>58582.9690501133</v>
      </c>
      <c r="L17" s="14" t="n">
        <f aca="false">G17*สมมติฐาน!$D$20</f>
        <v>15854.5069922607</v>
      </c>
      <c r="M17" s="19" t="n">
        <f aca="false">IF(D17="รับราชการ",สมมติฐาน!$D$30+IF(AND(A17&gt;=สมมติฐาน!$D$32,A17&lt;=สมมติฐาน!$D$33),สมมติฐาน!$D$31,0),0)</f>
        <v>4</v>
      </c>
      <c r="N17" s="19" t="n">
        <f aca="false">IF(AND(A17&gt;=สมมติฐาน!$D$35,A17&lt;=สมมติฐาน!$D$36),สมมติฐาน!$D$34,0)+IF(D17="รับราชการ",0,สมมติฐาน!$D$37)</f>
        <v>2</v>
      </c>
      <c r="O17" s="21" t="n">
        <f aca="false">(1+สมมติฐาน!$B$43)^(A17-1)*(1+สมมติฐาน!$B$44)^(A17-1)</f>
        <v>1.37278570509061</v>
      </c>
      <c r="P17" s="14" t="n">
        <f aca="false">(M17*สมมติฐาน!$D$38+N17*สมมติฐาน!$D$39)*O17</f>
        <v>126296.284868336</v>
      </c>
      <c r="Q17" s="14" t="n">
        <f aca="false">IF(D17="รับราชการ",0,$AB$6*12*(1+สมมติฐาน!$B$46)^(A17-36-1))</f>
        <v>0</v>
      </c>
      <c r="R17" s="14" t="n">
        <f aca="false">IF(C17=สมมติฐาน!$D$8,$AB$7,0)+IF(C17=65,$AB$9,0)+IF(A17=62,$AB$10+$AB$11,0)</f>
        <v>0</v>
      </c>
      <c r="S17" s="14" t="n">
        <f aca="false">G17+H17+I17+J17+K17+L17+P17+Q17+R17</f>
        <v>687214.132317689</v>
      </c>
      <c r="T17" s="14" t="n">
        <f aca="false">S17/E17</f>
        <v>586530.644878915</v>
      </c>
      <c r="U17" s="21" t="n">
        <f aca="false">1/(1+สมมติฐาน!$B$45)^(A17-1)</f>
        <v>0.730690205001984</v>
      </c>
      <c r="V17" s="14" t="n">
        <f aca="false">S17*U17</f>
        <v>502140.635223473</v>
      </c>
    </row>
    <row r="18" customFormat="false" ht="15" hidden="false" customHeight="true" outlineLevel="0" collapsed="false">
      <c r="A18" s="22" t="n">
        <v>10</v>
      </c>
      <c r="B18" s="22" t="n">
        <f aca="false">สมมติฐาน!$B$42+A18-1</f>
        <v>2578</v>
      </c>
      <c r="C18" s="22" t="n">
        <f aca="false">สมมติฐาน!$D$7+A18-1</f>
        <v>33</v>
      </c>
      <c r="D18" s="23" t="str">
        <f aca="false">IF(C18&lt;สมมติฐาน!$D$8,"รับราชการ","รับบำนาญ")</f>
        <v>รับราชการ</v>
      </c>
      <c r="E18" s="24" t="n">
        <f aca="false">(1+สมมติฐาน!$B$43)^(A18-1)</f>
        <v>1.19509256862231</v>
      </c>
      <c r="F18" s="25" t="n">
        <f aca="false">IF(D18="รับราชการ",สมมติฐาน!$D$13*(1+สมมติฐาน!$D$15)^(A18-1)*E18,0)</f>
        <v>34916.8211253168</v>
      </c>
      <c r="G18" s="25" t="n">
        <f aca="false">F18*12</f>
        <v>419001.853503802</v>
      </c>
      <c r="H18" s="25" t="n">
        <f aca="false">IF(D18="รับราชการ",IF(A18&gt;=สมมติฐาน!$D$19,สมมติฐาน!$D$18,IF(A18&gt;=สมมติฐาน!$D$17,สมมติฐาน!$D$16,0))*12*E18,0)</f>
        <v>0</v>
      </c>
      <c r="I18" s="25" t="n">
        <f aca="false">G18*สมมติฐาน!$D$21</f>
        <v>20950.0926751901</v>
      </c>
      <c r="J18" s="25" t="n">
        <f aca="false">IF(AND(D18="รับราชการ",A18&lt;=สมมติฐาน!$D$23),สมมติฐาน!$D$22*12*E18,0)</f>
        <v>71705.5541173387</v>
      </c>
      <c r="K18" s="25" t="n">
        <f aca="false">IF(AND(D18="รับราชการ",A18&gt;=สมมติฐาน!$D$27,A18&lt;สมมติฐาน!$D$27+สมมติฐาน!$D$28),สมมติฐาน!$D$25*สมมติฐาน!$D$26*E18,0)</f>
        <v>59754.6284311156</v>
      </c>
      <c r="L18" s="25" t="n">
        <f aca="false">G18*สมมติฐาน!$D$20</f>
        <v>16760.0741401521</v>
      </c>
      <c r="M18" s="22" t="n">
        <f aca="false">IF(D18="รับราชการ",สมมติฐาน!$D$30+IF(AND(A18&gt;=สมมติฐาน!$D$32,A18&lt;=สมมติฐาน!$D$33),สมมติฐาน!$D$31,0),0)</f>
        <v>4</v>
      </c>
      <c r="N18" s="22" t="n">
        <f aca="false">IF(AND(A18&gt;=สมมติฐาน!$D$35,A18&lt;=สมมติฐาน!$D$36),สมมติฐาน!$D$34,0)+IF(D18="รับราชการ",0,สมมติฐาน!$D$37)</f>
        <v>2</v>
      </c>
      <c r="O18" s="24" t="n">
        <f aca="false">(1+สมมติฐาน!$B$43)^(A18-1)*(1+สมมติฐาน!$B$44)^(A18-1)</f>
        <v>1.42824624757627</v>
      </c>
      <c r="P18" s="25" t="n">
        <f aca="false">(M18*สมมติฐาน!$D$38+N18*สมมติฐาน!$D$39)*O18</f>
        <v>131398.654777017</v>
      </c>
      <c r="Q18" s="25" t="n">
        <f aca="false">IF(D18="รับราชการ",0,$AB$6*12*(1+สมมติฐาน!$B$46)^(A18-36-1))</f>
        <v>0</v>
      </c>
      <c r="R18" s="25" t="n">
        <f aca="false">IF(C18=สมมติฐาน!$D$8,$AB$7,0)+IF(C18=65,$AB$9,0)+IF(A18=62,$AB$10+$AB$11,0)</f>
        <v>0</v>
      </c>
      <c r="S18" s="25" t="n">
        <f aca="false">G18+H18+I18+J18+K18+L18+P18+Q18+R18</f>
        <v>719570.857644615</v>
      </c>
      <c r="T18" s="25" t="n">
        <f aca="false">S18/E18</f>
        <v>602104.704302637</v>
      </c>
      <c r="U18" s="24" t="n">
        <f aca="false">1/(1+สมมติฐาน!$B$45)^(A18-1)</f>
        <v>0.702586735578831</v>
      </c>
      <c r="V18" s="25" t="n">
        <f aca="false">S18*U18</f>
        <v>505560.93989019</v>
      </c>
    </row>
    <row r="19" customFormat="false" ht="15" hidden="false" customHeight="true" outlineLevel="0" collapsed="false">
      <c r="A19" s="19" t="n">
        <v>11</v>
      </c>
      <c r="B19" s="19" t="n">
        <f aca="false">สมมติฐาน!$B$42+A19-1</f>
        <v>2579</v>
      </c>
      <c r="C19" s="19" t="n">
        <f aca="false">สมมติฐาน!$D$7+A19-1</f>
        <v>34</v>
      </c>
      <c r="D19" s="20" t="str">
        <f aca="false">IF(C19&lt;สมมติฐาน!$D$8,"รับราชการ","รับบำนาญ")</f>
        <v>รับราชการ</v>
      </c>
      <c r="E19" s="21" t="n">
        <f aca="false">(1+สมมติฐาน!$B$43)^(A19-1)</f>
        <v>1.21899441999476</v>
      </c>
      <c r="F19" s="14" t="n">
        <f aca="false">IF(D19="รับราชการ",สมมติฐาน!$D$13*(1+สมมติฐาน!$D$15)^(A19-1)*E19,0)</f>
        <v>36911.1768082354</v>
      </c>
      <c r="G19" s="14" t="n">
        <f aca="false">F19*12</f>
        <v>442934.121698824</v>
      </c>
      <c r="H19" s="14" t="n">
        <f aca="false">IF(D19="รับราชการ",IF(A19&gt;=สมมติฐาน!$D$19,สมมติฐาน!$D$18,IF(A19&gt;=สมมติฐาน!$D$17,สมมติฐาน!$D$16,0))*12*E19,0)</f>
        <v>0</v>
      </c>
      <c r="I19" s="14" t="n">
        <f aca="false">G19*สมมติฐาน!$D$21</f>
        <v>22146.7060849412</v>
      </c>
      <c r="J19" s="14" t="n">
        <f aca="false">IF(AND(D19="รับราชการ",A19&lt;=สมมติฐาน!$D$23),สมมติฐาน!$D$22*12*E19,0)</f>
        <v>73139.6651996854</v>
      </c>
      <c r="K19" s="14" t="n">
        <f aca="false">IF(AND(D19="รับราชการ",A19&gt;=สมมติฐาน!$D$27,A19&lt;สมมติฐาน!$D$27+สมมติฐาน!$D$28),สมมติฐาน!$D$25*สมมติฐาน!$D$26*E19,0)</f>
        <v>60949.7209997379</v>
      </c>
      <c r="L19" s="14" t="n">
        <f aca="false">G19*สมมติฐาน!$D$20</f>
        <v>17717.364867953</v>
      </c>
      <c r="M19" s="19" t="n">
        <f aca="false">IF(D19="รับราชการ",สมมติฐาน!$D$30+IF(AND(A19&gt;=สมมติฐาน!$D$32,A19&lt;=สมมติฐาน!$D$33),สมมติฐาน!$D$31,0),0)</f>
        <v>4</v>
      </c>
      <c r="N19" s="19" t="n">
        <f aca="false">IF(AND(A19&gt;=สมมติฐาน!$D$35,A19&lt;=สมมติฐาน!$D$36),สมมติฐาน!$D$34,0)+IF(D19="รับราชการ",0,สมมติฐาน!$D$37)</f>
        <v>2</v>
      </c>
      <c r="O19" s="21" t="n">
        <f aca="false">(1+สมมติฐาน!$B$43)^(A19-1)*(1+สมมติฐาน!$B$44)^(A19-1)</f>
        <v>1.48594739597836</v>
      </c>
      <c r="P19" s="14" t="n">
        <f aca="false">(M19*สมมติฐาน!$D$38+N19*สมมติฐาน!$D$39)*O19</f>
        <v>136707.160430009</v>
      </c>
      <c r="Q19" s="14" t="n">
        <f aca="false">IF(D19="รับราชการ",0,$AB$6*12*(1+สมมติฐาน!$B$46)^(A19-36-1))</f>
        <v>0</v>
      </c>
      <c r="R19" s="14" t="n">
        <f aca="false">IF(C19=สมมติฐาน!$D$8,$AB$7,0)+IF(C19=65,$AB$9,0)+IF(A19=62,$AB$10+$AB$11,0)</f>
        <v>0</v>
      </c>
      <c r="S19" s="14" t="n">
        <f aca="false">G19+H19+I19+J19+K19+L19+P19+Q19+R19</f>
        <v>753594.73928115</v>
      </c>
      <c r="T19" s="14" t="n">
        <f aca="false">S19/E19</f>
        <v>618210.163164153</v>
      </c>
      <c r="U19" s="21" t="n">
        <f aca="false">1/(1+สมมติฐาน!$B$45)^(A19-1)</f>
        <v>0.675564168825799</v>
      </c>
      <c r="V19" s="14" t="n">
        <f aca="false">S19*U19</f>
        <v>509101.603673965</v>
      </c>
    </row>
    <row r="20" customFormat="false" ht="15" hidden="false" customHeight="true" outlineLevel="0" collapsed="false">
      <c r="A20" s="22" t="n">
        <v>12</v>
      </c>
      <c r="B20" s="22" t="n">
        <f aca="false">สมมติฐาน!$B$42+A20-1</f>
        <v>2580</v>
      </c>
      <c r="C20" s="22" t="n">
        <f aca="false">สมมติฐาน!$D$7+A20-1</f>
        <v>35</v>
      </c>
      <c r="D20" s="23" t="str">
        <f aca="false">IF(C20&lt;สมมติฐาน!$D$8,"รับราชการ","รับบำนาญ")</f>
        <v>รับราชการ</v>
      </c>
      <c r="E20" s="24" t="n">
        <f aca="false">(1+สมมติฐาน!$B$43)^(A20-1)</f>
        <v>1.24337430839465</v>
      </c>
      <c r="F20" s="25" t="n">
        <f aca="false">IF(D20="รับราชการ",สมมติฐาน!$D$13*(1+สมมติฐาน!$D$15)^(A20-1)*E20,0)</f>
        <v>39019.4447678676</v>
      </c>
      <c r="G20" s="25" t="n">
        <f aca="false">F20*12</f>
        <v>468233.337214411</v>
      </c>
      <c r="H20" s="25" t="n">
        <f aca="false">IF(D20="รับราชการ",IF(A20&gt;=สมมติฐาน!$D$19,สมมติฐาน!$D$18,IF(A20&gt;=สมมติฐาน!$D$17,สมมติฐาน!$D$16,0))*12*E20,0)</f>
        <v>83554.7535241207</v>
      </c>
      <c r="I20" s="25" t="n">
        <f aca="false">G20*สมมติฐาน!$D$21</f>
        <v>23411.6668607206</v>
      </c>
      <c r="J20" s="25" t="n">
        <f aca="false">IF(AND(D20="รับราชการ",A20&lt;=สมมติฐาน!$D$23),สมมติฐาน!$D$22*12*E20,0)</f>
        <v>74602.4585036792</v>
      </c>
      <c r="K20" s="25" t="n">
        <f aca="false">IF(AND(D20="รับราชการ",A20&gt;=สมมติฐาน!$D$27,A20&lt;สมมติฐาน!$D$27+สมมติฐาน!$D$28),สมมติฐาน!$D$25*สมมติฐาน!$D$26*E20,0)</f>
        <v>62168.7154197326</v>
      </c>
      <c r="L20" s="25" t="n">
        <f aca="false">G20*สมมติฐาน!$D$20</f>
        <v>18729.3334885764</v>
      </c>
      <c r="M20" s="22" t="n">
        <f aca="false">IF(D20="รับราชการ",สมมติฐาน!$D$30+IF(AND(A20&gt;=สมมติฐาน!$D$32,A20&lt;=สมมติฐาน!$D$33),สมมติฐาน!$D$31,0),0)</f>
        <v>4</v>
      </c>
      <c r="N20" s="22" t="n">
        <f aca="false">IF(AND(A20&gt;=สมมติฐาน!$D$35,A20&lt;=สมมติฐาน!$D$36),สมมติฐาน!$D$34,0)+IF(D20="รับราชการ",0,สมมติฐาน!$D$37)</f>
        <v>2</v>
      </c>
      <c r="O20" s="24" t="n">
        <f aca="false">(1+สมมติฐาน!$B$43)^(A20-1)*(1+สมมติฐาน!$B$44)^(A20-1)</f>
        <v>1.54597967077588</v>
      </c>
      <c r="P20" s="25" t="n">
        <f aca="false">(M20*สมมติฐาน!$D$38+N20*สมมติฐาน!$D$39)*O20</f>
        <v>142230.129711381</v>
      </c>
      <c r="Q20" s="25" t="n">
        <f aca="false">IF(D20="รับราชการ",0,$AB$6*12*(1+สมมติฐาน!$B$46)^(A20-36-1))</f>
        <v>0</v>
      </c>
      <c r="R20" s="25" t="n">
        <f aca="false">IF(C20=สมมติฐาน!$D$8,$AB$7,0)+IF(C20=65,$AB$9,0)+IF(A20=62,$AB$10+$AB$11,0)</f>
        <v>0</v>
      </c>
      <c r="S20" s="25" t="n">
        <f aca="false">G20+H20+I20+J20+K20+L20+P20+Q20+R20</f>
        <v>872930.394722621</v>
      </c>
      <c r="T20" s="25" t="n">
        <f aca="false">S20/E20</f>
        <v>702065.65217652</v>
      </c>
      <c r="U20" s="24" t="n">
        <f aca="false">1/(1+สมมติฐาน!$B$45)^(A20-1)</f>
        <v>0.649580931563268</v>
      </c>
      <c r="V20" s="25" t="n">
        <f aca="false">S20*U20</f>
        <v>567038.938993812</v>
      </c>
    </row>
    <row r="21" customFormat="false" ht="15" hidden="false" customHeight="true" outlineLevel="0" collapsed="false">
      <c r="A21" s="19" t="n">
        <v>13</v>
      </c>
      <c r="B21" s="19" t="n">
        <f aca="false">สมมติฐาน!$B$42+A21-1</f>
        <v>2581</v>
      </c>
      <c r="C21" s="19" t="n">
        <f aca="false">สมมติฐาน!$D$7+A21-1</f>
        <v>36</v>
      </c>
      <c r="D21" s="20" t="str">
        <f aca="false">IF(C21&lt;สมมติฐาน!$D$8,"รับราชการ","รับบำนาญ")</f>
        <v>รับราชการ</v>
      </c>
      <c r="E21" s="21" t="n">
        <f aca="false">(1+สมมติฐาน!$B$43)^(A21-1)</f>
        <v>1.26824179456255</v>
      </c>
      <c r="F21" s="14" t="n">
        <f aca="false">IF(D21="รับราชการ",สมมติฐาน!$D$13*(1+สมมติฐาน!$D$15)^(A21-1)*E21,0)</f>
        <v>41248.1313696012</v>
      </c>
      <c r="G21" s="14" t="n">
        <f aca="false">F21*12</f>
        <v>494977.576435215</v>
      </c>
      <c r="H21" s="14" t="n">
        <f aca="false">IF(D21="รับราชการ",IF(A21&gt;=สมมติฐาน!$D$19,สมมติฐาน!$D$18,IF(A21&gt;=สมมติฐาน!$D$17,สมมติฐาน!$D$16,0))*12*E21,0)</f>
        <v>85225.8485946031</v>
      </c>
      <c r="I21" s="14" t="n">
        <f aca="false">G21*สมมติฐาน!$D$21</f>
        <v>24748.8788217607</v>
      </c>
      <c r="J21" s="14" t="n">
        <f aca="false">IF(AND(D21="รับราชการ",A21&lt;=สมมติฐาน!$D$23),สมมติฐาน!$D$22*12*E21,0)</f>
        <v>0</v>
      </c>
      <c r="K21" s="14" t="n">
        <f aca="false">IF(AND(D21="รับราชการ",A21&gt;=สมมติฐาน!$D$27,A21&lt;สมมติฐาน!$D$27+สมมติฐาน!$D$28),สมมติฐาน!$D$25*สมมติฐาน!$D$26*E21,0)</f>
        <v>63412.0897281273</v>
      </c>
      <c r="L21" s="14" t="n">
        <f aca="false">G21*สมมติฐาน!$D$20</f>
        <v>19799.1030574086</v>
      </c>
      <c r="M21" s="19" t="n">
        <f aca="false">IF(D21="รับราชการ",สมมติฐาน!$D$30+IF(AND(A21&gt;=สมมติฐาน!$D$32,A21&lt;=สมมติฐาน!$D$33),สมมติฐาน!$D$31,0),0)</f>
        <v>4</v>
      </c>
      <c r="N21" s="19" t="n">
        <f aca="false">IF(AND(A21&gt;=สมมติฐาน!$D$35,A21&lt;=สมมติฐาน!$D$36),สมมติฐาน!$D$34,0)+IF(D21="รับราชการ",0,สมมติฐาน!$D$37)</f>
        <v>2</v>
      </c>
      <c r="O21" s="21" t="n">
        <f aca="false">(1+สมมติฐาน!$B$43)^(A21-1)*(1+สมมติฐาน!$B$44)^(A21-1)</f>
        <v>1.60843724947523</v>
      </c>
      <c r="P21" s="14" t="n">
        <f aca="false">(M21*สมมติฐาน!$D$38+N21*สมมติฐาน!$D$39)*O21</f>
        <v>147976.226951721</v>
      </c>
      <c r="Q21" s="14" t="n">
        <f aca="false">IF(D21="รับราชการ",0,$AB$6*12*(1+สมมติฐาน!$B$46)^(A21-36-1))</f>
        <v>0</v>
      </c>
      <c r="R21" s="14" t="n">
        <f aca="false">IF(C21=สมมติฐาน!$D$8,$AB$7,0)+IF(C21=65,$AB$9,0)+IF(A21=62,$AB$10+$AB$11,0)</f>
        <v>0</v>
      </c>
      <c r="S21" s="14" t="n">
        <f aca="false">G21+H21+I21+J21+K21+L21+P21+Q21+R21</f>
        <v>836139.723588835</v>
      </c>
      <c r="T21" s="14" t="n">
        <f aca="false">S21/E21</f>
        <v>659290.465882529</v>
      </c>
      <c r="U21" s="21" t="n">
        <f aca="false">1/(1+สมมติฐาน!$B$45)^(A21-1)</f>
        <v>0.624597049580065</v>
      </c>
      <c r="V21" s="14" t="n">
        <f aca="false">S21*U21</f>
        <v>522250.404390278</v>
      </c>
    </row>
    <row r="22" customFormat="false" ht="15" hidden="false" customHeight="true" outlineLevel="0" collapsed="false">
      <c r="A22" s="22" t="n">
        <v>14</v>
      </c>
      <c r="B22" s="22" t="n">
        <f aca="false">สมมติฐาน!$B$42+A22-1</f>
        <v>2582</v>
      </c>
      <c r="C22" s="22" t="n">
        <f aca="false">สมมติฐาน!$D$7+A22-1</f>
        <v>37</v>
      </c>
      <c r="D22" s="23" t="str">
        <f aca="false">IF(C22&lt;สมมติฐาน!$D$8,"รับราชการ","รับบำนาญ")</f>
        <v>รับราชการ</v>
      </c>
      <c r="E22" s="24" t="n">
        <f aca="false">(1+สมมติฐาน!$B$43)^(A22-1)</f>
        <v>1.2936066304538</v>
      </c>
      <c r="F22" s="25" t="n">
        <f aca="false">IF(D22="รับราชการ",สมมติฐาน!$D$13*(1+สมมติฐาน!$D$15)^(A22-1)*E22,0)</f>
        <v>43604.1146050593</v>
      </c>
      <c r="G22" s="25" t="n">
        <f aca="false">F22*12</f>
        <v>523249.375260712</v>
      </c>
      <c r="H22" s="25" t="n">
        <f aca="false">IF(D22="รับราชการ",IF(A22&gt;=สมมติฐาน!$D$19,สมมติฐาน!$D$18,IF(A22&gt;=สมมติฐาน!$D$17,สมมติฐาน!$D$16,0))*12*E22,0)</f>
        <v>86930.3655664951</v>
      </c>
      <c r="I22" s="25" t="n">
        <f aca="false">G22*สมมติฐาน!$D$21</f>
        <v>26162.4687630356</v>
      </c>
      <c r="J22" s="25" t="n">
        <f aca="false">IF(AND(D22="รับราชการ",A22&lt;=สมมติฐาน!$D$23),สมมติฐาน!$D$22*12*E22,0)</f>
        <v>0</v>
      </c>
      <c r="K22" s="25" t="n">
        <f aca="false">IF(AND(D22="รับราชการ",A22&gt;=สมมติฐาน!$D$27,A22&lt;สมมติฐาน!$D$27+สมมติฐาน!$D$28),สมมติฐาน!$D$25*สมมติฐาน!$D$26*E22,0)</f>
        <v>64680.3315226898</v>
      </c>
      <c r="L22" s="25" t="n">
        <f aca="false">G22*สมมติฐาน!$D$20</f>
        <v>20929.9750104285</v>
      </c>
      <c r="M22" s="22" t="n">
        <f aca="false">IF(D22="รับราชการ",สมมติฐาน!$D$30+IF(AND(A22&gt;=สมมติฐาน!$D$32,A22&lt;=สมมติฐาน!$D$33),สมมติฐาน!$D$31,0),0)</f>
        <v>4</v>
      </c>
      <c r="N22" s="22" t="n">
        <f aca="false">IF(AND(A22&gt;=สมมติฐาน!$D$35,A22&lt;=สมมติฐาน!$D$36),สมมติฐาน!$D$34,0)+IF(D22="รับราชการ",0,สมมติฐาน!$D$37)</f>
        <v>2</v>
      </c>
      <c r="O22" s="24" t="n">
        <f aca="false">(1+สมมติฐาน!$B$43)^(A22-1)*(1+สมมติฐาน!$B$44)^(A22-1)</f>
        <v>1.67341811435403</v>
      </c>
      <c r="P22" s="25" t="n">
        <f aca="false">(M22*สมมติฐาน!$D$38+N22*สมมติฐาน!$D$39)*O22</f>
        <v>153954.46652057</v>
      </c>
      <c r="Q22" s="25" t="n">
        <f aca="false">IF(D22="รับราชการ",0,$AB$6*12*(1+สมมติฐาน!$B$46)^(A22-36-1))</f>
        <v>0</v>
      </c>
      <c r="R22" s="25" t="n">
        <f aca="false">IF(C22=สมมติฐาน!$D$8,$AB$7,0)+IF(C22=65,$AB$9,0)+IF(A22=62,$AB$10+$AB$11,0)</f>
        <v>0</v>
      </c>
      <c r="S22" s="25" t="n">
        <f aca="false">G22+H22+I22+J22+K22+L22+P22+Q22+R22</f>
        <v>875906.982643931</v>
      </c>
      <c r="T22" s="25" t="n">
        <f aca="false">S22/E22</f>
        <v>677104.58652849</v>
      </c>
      <c r="U22" s="24" t="n">
        <f aca="false">1/(1+สมมติฐาน!$B$45)^(A22-1)</f>
        <v>0.600574086134678</v>
      </c>
      <c r="V22" s="25" t="n">
        <f aca="false">S22*U22</f>
        <v>526047.035640362</v>
      </c>
    </row>
    <row r="23" customFormat="false" ht="15" hidden="false" customHeight="true" outlineLevel="0" collapsed="false">
      <c r="A23" s="19" t="n">
        <v>15</v>
      </c>
      <c r="B23" s="19" t="n">
        <f aca="false">สมมติฐาน!$B$42+A23-1</f>
        <v>2583</v>
      </c>
      <c r="C23" s="19" t="n">
        <f aca="false">สมมติฐาน!$D$7+A23-1</f>
        <v>38</v>
      </c>
      <c r="D23" s="20" t="str">
        <f aca="false">IF(C23&lt;สมมติฐาน!$D$8,"รับราชการ","รับบำนาญ")</f>
        <v>รับราชการ</v>
      </c>
      <c r="E23" s="21" t="n">
        <f aca="false">(1+สมมติฐาน!$B$43)^(A23-1)</f>
        <v>1.31947876306287</v>
      </c>
      <c r="F23" s="14" t="n">
        <f aca="false">IF(D23="รับราชการ",สมมติฐาน!$D$13*(1+สมมติฐาน!$D$15)^(A23-1)*E23,0)</f>
        <v>46094.6653183995</v>
      </c>
      <c r="G23" s="14" t="n">
        <f aca="false">F23*12</f>
        <v>553135.983820794</v>
      </c>
      <c r="H23" s="14" t="n">
        <f aca="false">IF(D23="รับราชการ",IF(A23&gt;=สมมติฐาน!$D$19,สมมติฐาน!$D$18,IF(A23&gt;=สมมติฐาน!$D$17,สมมติฐาน!$D$16,0))*12*E23,0)</f>
        <v>88668.972877825</v>
      </c>
      <c r="I23" s="14" t="n">
        <f aca="false">G23*สมมติฐาน!$D$21</f>
        <v>27656.7991910397</v>
      </c>
      <c r="J23" s="14" t="n">
        <f aca="false">IF(AND(D23="รับราชการ",A23&lt;=สมมติฐาน!$D$23),สมมติฐาน!$D$22*12*E23,0)</f>
        <v>0</v>
      </c>
      <c r="K23" s="14" t="n">
        <f aca="false">IF(AND(D23="รับราชการ",A23&gt;=สมมติฐาน!$D$27,A23&lt;สมมติฐาน!$D$27+สมมติฐาน!$D$28),สมมติฐาน!$D$25*สมมติฐาน!$D$26*E23,0)</f>
        <v>65973.9381531436</v>
      </c>
      <c r="L23" s="14" t="n">
        <f aca="false">G23*สมมติฐาน!$D$20</f>
        <v>22125.4393528318</v>
      </c>
      <c r="M23" s="19" t="n">
        <f aca="false">IF(D23="รับราชการ",สมมติฐาน!$D$30+IF(AND(A23&gt;=สมมติฐาน!$D$32,A23&lt;=สมมติฐาน!$D$33),สมมติฐาน!$D$31,0),0)</f>
        <v>4</v>
      </c>
      <c r="N23" s="19" t="n">
        <f aca="false">IF(AND(A23&gt;=สมมติฐาน!$D$35,A23&lt;=สมมติฐาน!$D$36),สมมติฐาน!$D$34,0)+IF(D23="รับราชการ",0,สมมติฐาน!$D$37)</f>
        <v>2</v>
      </c>
      <c r="O23" s="21" t="n">
        <f aca="false">(1+สมมติฐาน!$B$43)^(A23-1)*(1+สมมติฐาน!$B$44)^(A23-1)</f>
        <v>1.74102420617393</v>
      </c>
      <c r="P23" s="14" t="n">
        <f aca="false">(M23*สมมติฐาน!$D$38+N23*สมมติฐาน!$D$39)*O23</f>
        <v>160174.226968001</v>
      </c>
      <c r="Q23" s="14" t="n">
        <f aca="false">IF(D23="รับราชการ",0,$AB$6*12*(1+สมมติฐาน!$B$46)^(A23-36-1))</f>
        <v>0</v>
      </c>
      <c r="R23" s="14" t="n">
        <f aca="false">IF(C23=สมมติฐาน!$D$8,$AB$7,0)+IF(C23=65,$AB$9,0)+IF(A23=62,$AB$10+$AB$11,0)</f>
        <v>0</v>
      </c>
      <c r="S23" s="14" t="n">
        <f aca="false">G23+H23+I23+J23+K23+L23+P23+Q23+R23</f>
        <v>917735.360363636</v>
      </c>
      <c r="T23" s="14" t="n">
        <f aca="false">S23/E23</f>
        <v>695528.708801133</v>
      </c>
      <c r="U23" s="21" t="n">
        <f aca="false">1/(1+สมมติฐาน!$B$45)^(A23-1)</f>
        <v>0.577475082821806</v>
      </c>
      <c r="V23" s="14" t="n">
        <f aca="false">S23*U23</f>
        <v>529969.30323449</v>
      </c>
    </row>
    <row r="24" customFormat="false" ht="15" hidden="false" customHeight="true" outlineLevel="0" collapsed="false">
      <c r="A24" s="22" t="n">
        <v>16</v>
      </c>
      <c r="B24" s="22" t="n">
        <f aca="false">สมมติฐาน!$B$42+A24-1</f>
        <v>2584</v>
      </c>
      <c r="C24" s="22" t="n">
        <f aca="false">สมมติฐาน!$D$7+A24-1</f>
        <v>39</v>
      </c>
      <c r="D24" s="23" t="str">
        <f aca="false">IF(C24&lt;สมมติฐาน!$D$8,"รับราชการ","รับบำนาญ")</f>
        <v>รับราชการ</v>
      </c>
      <c r="E24" s="24" t="n">
        <f aca="false">(1+สมมติฐาน!$B$43)^(A24-1)</f>
        <v>1.34586833832413</v>
      </c>
      <c r="F24" s="25" t="n">
        <f aca="false">IF(D24="รับราชการ",สมมติฐาน!$D$13*(1+สมมติฐาน!$D$15)^(A24-1)*E24,0)</f>
        <v>48727.4696450032</v>
      </c>
      <c r="G24" s="25" t="n">
        <f aca="false">F24*12</f>
        <v>584729.635740038</v>
      </c>
      <c r="H24" s="25" t="n">
        <f aca="false">IF(D24="รับราชการ",IF(A24&gt;=สมมติฐาน!$D$19,สมมติฐาน!$D$18,IF(A24&gt;=สมมติฐาน!$D$17,สมมติฐาน!$D$16,0))*12*E24,0)</f>
        <v>90442.3523353815</v>
      </c>
      <c r="I24" s="25" t="n">
        <f aca="false">G24*สมมติฐาน!$D$21</f>
        <v>29236.4817870019</v>
      </c>
      <c r="J24" s="25" t="n">
        <f aca="false">IF(AND(D24="รับราชการ",A24&lt;=สมมติฐาน!$D$23),สมมติฐาน!$D$22*12*E24,0)</f>
        <v>0</v>
      </c>
      <c r="K24" s="25" t="n">
        <f aca="false">IF(AND(D24="รับราชการ",A24&gt;=สมมติฐาน!$D$27,A24&lt;สมมติฐาน!$D$27+สมมติฐาน!$D$28),สมมติฐาน!$D$25*สมมติฐาน!$D$26*E24,0)</f>
        <v>67293.4169162065</v>
      </c>
      <c r="L24" s="25" t="n">
        <f aca="false">G24*สมมติฐาน!$D$20</f>
        <v>23389.1854296015</v>
      </c>
      <c r="M24" s="22" t="n">
        <f aca="false">IF(D24="รับราชการ",สมมติฐาน!$D$30+IF(AND(A24&gt;=สมมติฐาน!$D$32,A24&lt;=สมมติฐาน!$D$33),สมมติฐาน!$D$31,0),0)</f>
        <v>4</v>
      </c>
      <c r="N24" s="22" t="n">
        <f aca="false">IF(AND(A24&gt;=สมมติฐาน!$D$35,A24&lt;=สมมติฐาน!$D$36),สมมติฐาน!$D$34,0)+IF(D24="รับราชการ",0,สมมติฐาน!$D$37)</f>
        <v>2</v>
      </c>
      <c r="O24" s="24" t="n">
        <f aca="false">(1+สมมติฐาน!$B$43)^(A24-1)*(1+สมมติฐาน!$B$44)^(A24-1)</f>
        <v>1.81136158410335</v>
      </c>
      <c r="P24" s="25" t="n">
        <f aca="false">(M24*สมมติฐาน!$D$38+N24*สมมติฐาน!$D$39)*O24</f>
        <v>166645.265737509</v>
      </c>
      <c r="Q24" s="25" t="n">
        <f aca="false">IF(D24="รับราชการ",0,$AB$6*12*(1+สมมติฐาน!$B$46)^(A24-36-1))</f>
        <v>0</v>
      </c>
      <c r="R24" s="25" t="n">
        <f aca="false">IF(C24=สมมติฐาน!$D$8,$AB$7,0)+IF(C24=65,$AB$9,0)+IF(A24=62,$AB$10+$AB$11,0)</f>
        <v>0</v>
      </c>
      <c r="S24" s="25" t="n">
        <f aca="false">G24+H24+I24+J24+K24+L24+P24+Q24+R24</f>
        <v>961736.337945738</v>
      </c>
      <c r="T24" s="25" t="n">
        <f aca="false">S24/E24</f>
        <v>714584.265458899</v>
      </c>
      <c r="U24" s="24" t="n">
        <f aca="false">1/(1+สมมติฐาน!$B$45)^(A24-1)</f>
        <v>0.555264502713275</v>
      </c>
      <c r="V24" s="25" t="n">
        <f aca="false">S24*U24</f>
        <v>534018.049430726</v>
      </c>
    </row>
    <row r="25" customFormat="false" ht="15" hidden="false" customHeight="true" outlineLevel="0" collapsed="false">
      <c r="A25" s="19" t="n">
        <v>17</v>
      </c>
      <c r="B25" s="19" t="n">
        <f aca="false">สมมติฐาน!$B$42+A25-1</f>
        <v>2585</v>
      </c>
      <c r="C25" s="19" t="n">
        <f aca="false">สมมติฐาน!$D$7+A25-1</f>
        <v>40</v>
      </c>
      <c r="D25" s="20" t="str">
        <f aca="false">IF(C25&lt;สมมติฐาน!$D$8,"รับราชการ","รับบำนาญ")</f>
        <v>รับราชการ</v>
      </c>
      <c r="E25" s="21" t="n">
        <f aca="false">(1+สมมติฐาน!$B$43)^(A25-1)</f>
        <v>1.37278570509061</v>
      </c>
      <c r="F25" s="14" t="n">
        <f aca="false">IF(D25="รับราชการ",สมมติฐาน!$D$13*(1+สมมติฐาน!$D$15)^(A25-1)*E25,0)</f>
        <v>51510.6527318017</v>
      </c>
      <c r="G25" s="14" t="n">
        <f aca="false">F25*12</f>
        <v>618127.832781621</v>
      </c>
      <c r="H25" s="14" t="n">
        <f aca="false">IF(D25="รับราชการ",IF(A25&gt;=สมมติฐาน!$D$19,สมมติฐาน!$D$18,IF(A25&gt;=สมมติฐาน!$D$17,สมมติฐาน!$D$16,0))*12*E25,0)</f>
        <v>92251.1993820892</v>
      </c>
      <c r="I25" s="14" t="n">
        <f aca="false">G25*สมมติฐาน!$D$21</f>
        <v>30906.391639081</v>
      </c>
      <c r="J25" s="14" t="n">
        <f aca="false">IF(AND(D25="รับราชการ",A25&lt;=สมมติฐาน!$D$23),สมมติฐาน!$D$22*12*E25,0)</f>
        <v>0</v>
      </c>
      <c r="K25" s="14" t="n">
        <f aca="false">IF(AND(D25="รับราชการ",A25&gt;=สมมติฐาน!$D$27,A25&lt;สมมติฐาน!$D$27+สมมติฐาน!$D$28),สมมติฐาน!$D$25*สมมติฐาน!$D$26*E25,0)</f>
        <v>68639.2852545306</v>
      </c>
      <c r="L25" s="14" t="n">
        <f aca="false">G25*สมมติฐาน!$D$20</f>
        <v>24725.1133112648</v>
      </c>
      <c r="M25" s="19" t="n">
        <f aca="false">IF(D25="รับราชการ",สมมติฐาน!$D$30+IF(AND(A25&gt;=สมมติฐาน!$D$32,A25&lt;=สมมติฐาน!$D$33),สมมติฐาน!$D$31,0),0)</f>
        <v>4</v>
      </c>
      <c r="N25" s="19" t="n">
        <f aca="false">IF(AND(A25&gt;=สมมติฐาน!$D$35,A25&lt;=สมมติฐาน!$D$36),สมมติฐาน!$D$34,0)+IF(D25="รับราชการ",0,สมมติฐาน!$D$37)</f>
        <v>2</v>
      </c>
      <c r="O25" s="21" t="n">
        <f aca="false">(1+สมมติฐาน!$B$43)^(A25-1)*(1+สมมติฐาน!$B$44)^(A25-1)</f>
        <v>1.88454059210113</v>
      </c>
      <c r="P25" s="14" t="n">
        <f aca="false">(M25*สมมติฐาน!$D$38+N25*สมมติฐาน!$D$39)*O25</f>
        <v>173377.734473304</v>
      </c>
      <c r="Q25" s="14" t="n">
        <f aca="false">IF(D25="รับราชการ",0,$AB$6*12*(1+สมมติฐาน!$B$46)^(A25-36-1))</f>
        <v>0</v>
      </c>
      <c r="R25" s="14" t="n">
        <f aca="false">IF(C25=สมมติฐาน!$D$8,$AB$7,0)+IF(C25=65,$AB$9,0)+IF(A25=62,$AB$10+$AB$11,0)</f>
        <v>0</v>
      </c>
      <c r="S25" s="14" t="n">
        <f aca="false">G25+H25+I25+J25+K25+L25+P25+Q25+R25</f>
        <v>1008027.55684189</v>
      </c>
      <c r="T25" s="14" t="n">
        <f aca="false">S25/E25</f>
        <v>734293.453890062</v>
      </c>
      <c r="U25" s="21" t="n">
        <f aca="false">1/(1+สมมติฐาน!$B$45)^(A25-1)</f>
        <v>0.533908175685841</v>
      </c>
      <c r="V25" s="14" t="n">
        <f aca="false">S25*U25</f>
        <v>538194.153914509</v>
      </c>
    </row>
    <row r="26" customFormat="false" ht="15" hidden="false" customHeight="true" outlineLevel="0" collapsed="false">
      <c r="A26" s="22" t="n">
        <v>18</v>
      </c>
      <c r="B26" s="22" t="n">
        <f aca="false">สมมติฐาน!$B$42+A26-1</f>
        <v>2586</v>
      </c>
      <c r="C26" s="22" t="n">
        <f aca="false">สมมติฐาน!$D$7+A26-1</f>
        <v>41</v>
      </c>
      <c r="D26" s="23" t="str">
        <f aca="false">IF(C26&lt;สมมติฐาน!$D$8,"รับราชการ","รับบำนาญ")</f>
        <v>รับราชการ</v>
      </c>
      <c r="E26" s="24" t="n">
        <f aca="false">(1+สมมติฐาน!$B$43)^(A26-1)</f>
        <v>1.40024141919242</v>
      </c>
      <c r="F26" s="25" t="n">
        <f aca="false">IF(D26="รับราชการ",สมมติฐาน!$D$13*(1+สมมติฐาน!$D$15)^(A26-1)*E26,0)</f>
        <v>54452.803812446</v>
      </c>
      <c r="G26" s="25" t="n">
        <f aca="false">F26*12</f>
        <v>653433.645749352</v>
      </c>
      <c r="H26" s="25" t="n">
        <f aca="false">IF(D26="รับราชการ",IF(A26&gt;=สมมติฐาน!$D$19,สมมติฐาน!$D$18,IF(A26&gt;=สมมติฐาน!$D$17,สมมติฐาน!$D$16,0))*12*E26,0)</f>
        <v>94096.2233697309</v>
      </c>
      <c r="I26" s="25" t="n">
        <f aca="false">G26*สมมติฐาน!$D$21</f>
        <v>32671.6822874676</v>
      </c>
      <c r="J26" s="25" t="n">
        <f aca="false">IF(AND(D26="รับราชการ",A26&lt;=สมมติฐาน!$D$23),สมมติฐาน!$D$22*12*E26,0)</f>
        <v>0</v>
      </c>
      <c r="K26" s="25" t="n">
        <f aca="false">IF(AND(D26="รับราชการ",A26&gt;=สมมติฐาน!$D$27,A26&lt;สมมติฐาน!$D$27+สมมติฐาน!$D$28),สมมติฐาน!$D$25*สมมติฐาน!$D$26*E26,0)</f>
        <v>70012.0709596212</v>
      </c>
      <c r="L26" s="25" t="n">
        <f aca="false">G26*สมมติฐาน!$D$20</f>
        <v>26137.3458299741</v>
      </c>
      <c r="M26" s="22" t="n">
        <f aca="false">IF(D26="รับราชการ",สมมติฐาน!$D$30+IF(AND(A26&gt;=สมมติฐาน!$D$32,A26&lt;=สมมติฐาน!$D$33),สมมติฐาน!$D$31,0),0)</f>
        <v>4</v>
      </c>
      <c r="N26" s="22" t="n">
        <f aca="false">IF(AND(A26&gt;=สมมติฐาน!$D$35,A26&lt;=สมมติฐาน!$D$36),สมมติฐาน!$D$34,0)+IF(D26="รับราชการ",0,สมมติฐาน!$D$37)</f>
        <v>2</v>
      </c>
      <c r="O26" s="24" t="n">
        <f aca="false">(1+สมมติฐาน!$B$43)^(A26-1)*(1+สมมติฐาน!$B$44)^(A26-1)</f>
        <v>1.96067603202202</v>
      </c>
      <c r="P26" s="25" t="n">
        <f aca="false">(M26*สมมติฐาน!$D$38+N26*สมมติฐาน!$D$39)*O26</f>
        <v>180382.194946025</v>
      </c>
      <c r="Q26" s="25" t="n">
        <f aca="false">IF(D26="รับราชการ",0,$AB$6*12*(1+สมมติฐาน!$B$46)^(A26-36-1))</f>
        <v>0</v>
      </c>
      <c r="R26" s="25" t="n">
        <f aca="false">IF(C26=สมมติฐาน!$D$8,$AB$7,0)+IF(C26=65,$AB$9,0)+IF(A26=62,$AB$10+$AB$11,0)</f>
        <v>0</v>
      </c>
      <c r="S26" s="25" t="n">
        <f aca="false">G26+H26+I26+J26+K26+L26+P26+Q26+R26</f>
        <v>1056733.16314217</v>
      </c>
      <c r="T26" s="25" t="n">
        <f aca="false">S26/E26</f>
        <v>754679.26363129</v>
      </c>
      <c r="U26" s="24" t="n">
        <f aca="false">1/(1+สมมติฐาน!$B$45)^(A26-1)</f>
        <v>0.51337324585177</v>
      </c>
      <c r="V26" s="25" t="n">
        <f aca="false">S26*U26</f>
        <v>542498.533961505</v>
      </c>
    </row>
    <row r="27" customFormat="false" ht="15" hidden="false" customHeight="true" outlineLevel="0" collapsed="false">
      <c r="A27" s="19" t="n">
        <v>19</v>
      </c>
      <c r="B27" s="19" t="n">
        <f aca="false">สมมติฐาน!$B$42+A27-1</f>
        <v>2587</v>
      </c>
      <c r="C27" s="19" t="n">
        <f aca="false">สมมติฐาน!$D$7+A27-1</f>
        <v>42</v>
      </c>
      <c r="D27" s="20" t="str">
        <f aca="false">IF(C27&lt;สมมติฐาน!$D$8,"รับราชการ","รับบำนาญ")</f>
        <v>รับราชการ</v>
      </c>
      <c r="E27" s="21" t="n">
        <f aca="false">(1+สมมติฐาน!$B$43)^(A27-1)</f>
        <v>1.42824624757627</v>
      </c>
      <c r="F27" s="14" t="n">
        <f aca="false">IF(D27="รับราชการ",สมมติฐาน!$D$13*(1+สมมติฐาน!$D$15)^(A27-1)*E27,0)</f>
        <v>57563.0027147011</v>
      </c>
      <c r="G27" s="14" t="n">
        <f aca="false">F27*12</f>
        <v>690756.032576414</v>
      </c>
      <c r="H27" s="14" t="n">
        <f aca="false">IF(D27="รับราชการ",IF(A27&gt;=สมมติฐาน!$D$19,สมมติฐาน!$D$18,IF(A27&gt;=สมมติฐาน!$D$17,สมมติฐาน!$D$16,0))*12*E27,0)</f>
        <v>95978.1478371256</v>
      </c>
      <c r="I27" s="14" t="n">
        <f aca="false">G27*สมมติฐาน!$D$21</f>
        <v>34537.8016288207</v>
      </c>
      <c r="J27" s="14" t="n">
        <f aca="false">IF(AND(D27="รับราชการ",A27&lt;=สมมติฐาน!$D$23),สมมติฐาน!$D$22*12*E27,0)</f>
        <v>0</v>
      </c>
      <c r="K27" s="14" t="n">
        <f aca="false">IF(AND(D27="รับราชการ",A27&gt;=สมมติฐาน!$D$27,A27&lt;สมมติฐาน!$D$27+สมมติฐาน!$D$28),สมมติฐาน!$D$25*สมมติฐาน!$D$26*E27,0)</f>
        <v>71412.3123788137</v>
      </c>
      <c r="L27" s="14" t="n">
        <f aca="false">G27*สมมติฐาน!$D$20</f>
        <v>27630.2413030565</v>
      </c>
      <c r="M27" s="19" t="n">
        <f aca="false">IF(D27="รับราชการ",สมมติฐาน!$D$30+IF(AND(A27&gt;=สมมติฐาน!$D$32,A27&lt;=สมมติฐาน!$D$33),สมมติฐาน!$D$31,0),0)</f>
        <v>4</v>
      </c>
      <c r="N27" s="19" t="n">
        <f aca="false">IF(AND(A27&gt;=สมมติฐาน!$D$35,A27&lt;=สมมติฐาน!$D$36),สมมติฐาน!$D$34,0)+IF(D27="รับราชการ",0,สมมติฐาน!$D$37)</f>
        <v>2</v>
      </c>
      <c r="O27" s="21" t="n">
        <f aca="false">(1+สมมติฐาน!$B$43)^(A27-1)*(1+สมมติฐาน!$B$44)^(A27-1)</f>
        <v>2.03988734371571</v>
      </c>
      <c r="P27" s="14" t="n">
        <f aca="false">(M27*สมมติฐาน!$D$38+N27*สมมติฐาน!$D$39)*O27</f>
        <v>187669.635621845</v>
      </c>
      <c r="Q27" s="14" t="n">
        <f aca="false">IF(D27="รับราชการ",0,$AB$6*12*(1+สมมติฐาน!$B$46)^(A27-36-1))</f>
        <v>0</v>
      </c>
      <c r="R27" s="14" t="n">
        <f aca="false">IF(C27=สมมติฐาน!$D$8,$AB$7,0)+IF(C27=65,$AB$9,0)+IF(A27=62,$AB$10+$AB$11,0)</f>
        <v>0</v>
      </c>
      <c r="S27" s="14" t="n">
        <f aca="false">G27+H27+I27+J27+K27+L27+P27+Q27+R27</f>
        <v>1107984.17134608</v>
      </c>
      <c r="T27" s="14" t="n">
        <f aca="false">S27/E27</f>
        <v>775765.504881472</v>
      </c>
      <c r="U27" s="21" t="n">
        <f aca="false">1/(1+สมมติฐาน!$B$45)^(A27-1)</f>
        <v>0.493628121011318</v>
      </c>
      <c r="V27" s="14" t="n">
        <f aca="false">S27*U27</f>
        <v>546932.144611845</v>
      </c>
    </row>
    <row r="28" customFormat="false" ht="15" hidden="false" customHeight="true" outlineLevel="0" collapsed="false">
      <c r="A28" s="22" t="n">
        <v>20</v>
      </c>
      <c r="B28" s="22" t="n">
        <f aca="false">สมมติฐาน!$B$42+A28-1</f>
        <v>2588</v>
      </c>
      <c r="C28" s="22" t="n">
        <f aca="false">สมมติฐาน!$D$7+A28-1</f>
        <v>43</v>
      </c>
      <c r="D28" s="23" t="str">
        <f aca="false">IF(C28&lt;สมมติฐาน!$D$8,"รับราชการ","รับบำนาญ")</f>
        <v>รับราชการ</v>
      </c>
      <c r="E28" s="24" t="n">
        <f aca="false">(1+สมมติฐาน!$B$43)^(A28-1)</f>
        <v>1.4568111725278</v>
      </c>
      <c r="F28" s="25" t="n">
        <f aca="false">IF(D28="รับราชการ",สมมติฐาน!$D$13*(1+สมมติฐาน!$D$15)^(A28-1)*E28,0)</f>
        <v>60850.8478818742</v>
      </c>
      <c r="G28" s="25" t="n">
        <f aca="false">F28*12</f>
        <v>730210.174582491</v>
      </c>
      <c r="H28" s="25" t="n">
        <f aca="false">IF(D28="รับราชการ",IF(A28&gt;=สมมติฐาน!$D$19,สมมติฐาน!$D$18,IF(A28&gt;=สมมติฐาน!$D$17,สมมติฐาน!$D$16,0))*12*E28,0)</f>
        <v>97897.7107938681</v>
      </c>
      <c r="I28" s="25" t="n">
        <f aca="false">G28*สมมติฐาน!$D$21</f>
        <v>36510.5087291245</v>
      </c>
      <c r="J28" s="25" t="n">
        <f aca="false">IF(AND(D28="รับราชการ",A28&lt;=สมมติฐาน!$D$23),สมมติฐาน!$D$22*12*E28,0)</f>
        <v>0</v>
      </c>
      <c r="K28" s="25" t="n">
        <f aca="false">IF(AND(D28="รับราชการ",A28&gt;=สมมติฐาน!$D$27,A28&lt;สมมติฐาน!$D$27+สมมติฐาน!$D$28),สมมติฐาน!$D$25*สมมติฐาน!$D$26*E28,0)</f>
        <v>72840.55862639</v>
      </c>
      <c r="L28" s="25" t="n">
        <f aca="false">G28*สมมติฐาน!$D$20</f>
        <v>29208.4069832996</v>
      </c>
      <c r="M28" s="22" t="n">
        <f aca="false">IF(D28="รับราชการ",สมมติฐาน!$D$30+IF(AND(A28&gt;=สมมติฐาน!$D$32,A28&lt;=สมมติฐาน!$D$33),สมมติฐาน!$D$31,0),0)</f>
        <v>4</v>
      </c>
      <c r="N28" s="22" t="n">
        <f aca="false">IF(AND(A28&gt;=สมมติฐาน!$D$35,A28&lt;=สมมติฐาน!$D$36),สมมติฐาน!$D$34,0)+IF(D28="รับราชการ",0,สมมติฐาน!$D$37)</f>
        <v>2</v>
      </c>
      <c r="O28" s="24" t="n">
        <f aca="false">(1+สมมติฐาน!$B$43)^(A28-1)*(1+สมมติฐาน!$B$44)^(A28-1)</f>
        <v>2.12229879240182</v>
      </c>
      <c r="P28" s="25" t="n">
        <f aca="false">(M28*สมมติฐาน!$D$38+N28*สมมติฐาน!$D$39)*O28</f>
        <v>195251.488900967</v>
      </c>
      <c r="Q28" s="25" t="n">
        <f aca="false">IF(D28="รับราชการ",0,$AB$6*12*(1+สมมติฐาน!$B$46)^(A28-36-1))</f>
        <v>0</v>
      </c>
      <c r="R28" s="25" t="n">
        <f aca="false">IF(C28=สมมติฐาน!$D$8,$AB$7,0)+IF(C28=65,$AB$9,0)+IF(A28=62,$AB$10+$AB$11,0)</f>
        <v>0</v>
      </c>
      <c r="S28" s="25" t="n">
        <f aca="false">G28+H28+I28+J28+K28+L28+P28+Q28+R28</f>
        <v>1161918.84861614</v>
      </c>
      <c r="T28" s="25" t="n">
        <f aca="false">S28/E28</f>
        <v>797576.838046915</v>
      </c>
      <c r="U28" s="24" t="n">
        <f aca="false">1/(1+สมมติฐาน!$B$45)^(A28-1)</f>
        <v>0.474642424049344</v>
      </c>
      <c r="V28" s="25" t="n">
        <f aca="false">S28*U28</f>
        <v>551495.978855787</v>
      </c>
    </row>
    <row r="29" customFormat="false" ht="15" hidden="false" customHeight="true" outlineLevel="0" collapsed="false">
      <c r="A29" s="19" t="n">
        <v>21</v>
      </c>
      <c r="B29" s="19" t="n">
        <f aca="false">สมมติฐาน!$B$42+A29-1</f>
        <v>2589</v>
      </c>
      <c r="C29" s="19" t="n">
        <f aca="false">สมมติฐาน!$D$7+A29-1</f>
        <v>44</v>
      </c>
      <c r="D29" s="20" t="str">
        <f aca="false">IF(C29&lt;สมมติฐาน!$D$8,"รับราชการ","รับบำนาญ")</f>
        <v>รับราชการ</v>
      </c>
      <c r="E29" s="21" t="n">
        <f aca="false">(1+สมมติฐาน!$B$43)^(A29-1)</f>
        <v>1.48594739597836</v>
      </c>
      <c r="F29" s="14" t="n">
        <f aca="false">IF(D29="รับราชการ",สมมติฐาน!$D$13*(1+สมมติฐาน!$D$15)^(A29-1)*E29,0)</f>
        <v>64326.4859947503</v>
      </c>
      <c r="G29" s="14" t="n">
        <f aca="false">F29*12</f>
        <v>771917.831937004</v>
      </c>
      <c r="H29" s="14" t="n">
        <f aca="false">IF(D29="รับราชการ",IF(A29&gt;=สมมติฐาน!$D$19,สมมติฐาน!$D$18,IF(A29&gt;=สมมติฐาน!$D$17,สมมติฐาน!$D$16,0))*12*E29,0)</f>
        <v>99855.6650097455</v>
      </c>
      <c r="I29" s="14" t="n">
        <f aca="false">G29*สมมติฐาน!$D$21</f>
        <v>38595.8915968502</v>
      </c>
      <c r="J29" s="14" t="n">
        <f aca="false">IF(AND(D29="รับราชการ",A29&lt;=สมมติฐาน!$D$23),สมมติฐาน!$D$22*12*E29,0)</f>
        <v>0</v>
      </c>
      <c r="K29" s="14" t="n">
        <f aca="false">IF(AND(D29="รับราชการ",A29&gt;=สมมติฐาน!$D$27,A29&lt;สมมติฐาน!$D$27+สมมติฐาน!$D$28),สมมติฐาน!$D$25*สมมติฐาน!$D$26*E29,0)</f>
        <v>74297.3697989178</v>
      </c>
      <c r="L29" s="14" t="n">
        <f aca="false">G29*สมมติฐาน!$D$20</f>
        <v>30876.7132774801</v>
      </c>
      <c r="M29" s="19" t="n">
        <f aca="false">IF(D29="รับราชการ",สมมติฐาน!$D$30+IF(AND(A29&gt;=สมมติฐาน!$D$32,A29&lt;=สมมติฐาน!$D$33),สมมติฐาน!$D$31,0),0)</f>
        <v>4</v>
      </c>
      <c r="N29" s="19" t="n">
        <f aca="false">IF(AND(A29&gt;=สมมติฐาน!$D$35,A29&lt;=สมมติฐาน!$D$36),สมมติฐาน!$D$34,0)+IF(D29="รับราชการ",0,สมมติฐาน!$D$37)</f>
        <v>2</v>
      </c>
      <c r="O29" s="21" t="n">
        <f aca="false">(1+สมมติฐาน!$B$43)^(A29-1)*(1+สมมติฐาน!$B$44)^(A29-1)</f>
        <v>2.20803966361485</v>
      </c>
      <c r="P29" s="14" t="n">
        <f aca="false">(M29*สมมติฐาน!$D$38+N29*สมมติฐาน!$D$39)*O29</f>
        <v>203139.649052567</v>
      </c>
      <c r="Q29" s="14" t="n">
        <f aca="false">IF(D29="รับราชการ",0,$AB$6*12*(1+สมมติฐาน!$B$46)^(A29-36-1))</f>
        <v>0</v>
      </c>
      <c r="R29" s="14" t="n">
        <f aca="false">IF(C29=สมมติฐาน!$D$8,$AB$7,0)+IF(C29=65,$AB$9,0)+IF(A29=62,$AB$10+$AB$11,0)</f>
        <v>0</v>
      </c>
      <c r="S29" s="14" t="n">
        <f aca="false">G29+H29+I29+J29+K29+L29+P29+Q29+R29</f>
        <v>1218683.12067256</v>
      </c>
      <c r="T29" s="14" t="n">
        <f aca="false">S29/E29</f>
        <v>820138.804355303</v>
      </c>
      <c r="U29" s="21" t="n">
        <f aca="false">1/(1+สมมติฐาน!$B$45)^(A29-1)</f>
        <v>0.456386946201292</v>
      </c>
      <c r="V29" s="14" t="n">
        <f aca="false">S29*U29</f>
        <v>556191.067830812</v>
      </c>
    </row>
    <row r="30" customFormat="false" ht="15" hidden="false" customHeight="true" outlineLevel="0" collapsed="false">
      <c r="A30" s="22" t="n">
        <v>22</v>
      </c>
      <c r="B30" s="22" t="n">
        <f aca="false">สมมติฐาน!$B$42+A30-1</f>
        <v>2590</v>
      </c>
      <c r="C30" s="22" t="n">
        <f aca="false">สมมติฐาน!$D$7+A30-1</f>
        <v>45</v>
      </c>
      <c r="D30" s="23" t="str">
        <f aca="false">IF(C30&lt;สมมติฐาน!$D$8,"รับราชการ","รับบำนาญ")</f>
        <v>รับราชการ</v>
      </c>
      <c r="E30" s="24" t="n">
        <f aca="false">(1+สมมติฐาน!$B$43)^(A30-1)</f>
        <v>1.51566634389792</v>
      </c>
      <c r="F30" s="25" t="n">
        <f aca="false">IF(D30="รับราชการ",สมมติฐาน!$D$13*(1+สมมติฐาน!$D$15)^(A30-1)*E30,0)</f>
        <v>68000.6432854549</v>
      </c>
      <c r="G30" s="25" t="n">
        <f aca="false">F30*12</f>
        <v>816007.719425459</v>
      </c>
      <c r="H30" s="25" t="n">
        <f aca="false">IF(D30="รับราชการ",IF(A30&gt;=สมมติฐาน!$D$19,สมมติฐาน!$D$18,IF(A30&gt;=สมมติฐาน!$D$17,สมมติฐาน!$D$16,0))*12*E30,0)</f>
        <v>101852.77830994</v>
      </c>
      <c r="I30" s="25" t="n">
        <f aca="false">G30*สมมติฐาน!$D$21</f>
        <v>40800.3859712729</v>
      </c>
      <c r="J30" s="25" t="n">
        <f aca="false">IF(AND(D30="รับราชการ",A30&lt;=สมมติฐาน!$D$23),สมมติฐาน!$D$22*12*E30,0)</f>
        <v>0</v>
      </c>
      <c r="K30" s="25" t="n">
        <f aca="false">IF(AND(D30="รับราชการ",A30&gt;=สมมติฐาน!$D$27,A30&lt;สมมติฐาน!$D$27+สมมติฐาน!$D$28),สมมติฐาน!$D$25*สมมติฐาน!$D$26*E30,0)</f>
        <v>75783.3171948961</v>
      </c>
      <c r="L30" s="25" t="n">
        <f aca="false">G30*สมมติฐาน!$D$20</f>
        <v>32640.3087770183</v>
      </c>
      <c r="M30" s="22" t="n">
        <f aca="false">IF(D30="รับราชการ",สมมติฐาน!$D$30+IF(AND(A30&gt;=สมมติฐาน!$D$32,A30&lt;=สมมติฐาน!$D$33),สมมติฐาน!$D$31,0),0)</f>
        <v>4</v>
      </c>
      <c r="N30" s="22" t="n">
        <f aca="false">IF(AND(A30&gt;=สมมติฐาน!$D$35,A30&lt;=สมมติฐาน!$D$36),สมมติฐาน!$D$34,0)+IF(D30="รับราชการ",0,สมมติฐาน!$D$37)</f>
        <v>2</v>
      </c>
      <c r="O30" s="24" t="n">
        <f aca="false">(1+สมมติฐาน!$B$43)^(A30-1)*(1+สมมติฐาน!$B$44)^(A30-1)</f>
        <v>2.29724446602489</v>
      </c>
      <c r="P30" s="25" t="n">
        <f aca="false">(M30*สมมติฐาน!$D$38+N30*สมมติฐาน!$D$39)*O30</f>
        <v>211346.49087429</v>
      </c>
      <c r="Q30" s="25" t="n">
        <f aca="false">IF(D30="รับราชการ",0,$AB$6*12*(1+สมมติฐาน!$B$46)^(A30-36-1))</f>
        <v>0</v>
      </c>
      <c r="R30" s="25" t="n">
        <f aca="false">IF(C30=สมมติฐาน!$D$8,$AB$7,0)+IF(C30=65,$AB$9,0)+IF(A30=62,$AB$10+$AB$11,0)</f>
        <v>0</v>
      </c>
      <c r="S30" s="25" t="n">
        <f aca="false">G30+H30+I30+J30+K30+L30+P30+Q30+R30</f>
        <v>1278431.00055288</v>
      </c>
      <c r="T30" s="25" t="n">
        <f aca="false">S30/E30</f>
        <v>843477.857577193</v>
      </c>
      <c r="U30" s="24" t="n">
        <f aca="false">1/(1+สมมติฐาน!$B$45)^(A30-1)</f>
        <v>0.438833602116627</v>
      </c>
      <c r="V30" s="25" t="n">
        <f aca="false">S30*U30</f>
        <v>561018.481030182</v>
      </c>
    </row>
    <row r="31" customFormat="false" ht="15" hidden="false" customHeight="true" outlineLevel="0" collapsed="false">
      <c r="A31" s="19" t="n">
        <v>23</v>
      </c>
      <c r="B31" s="19" t="n">
        <f aca="false">สมมติฐาน!$B$42+A31-1</f>
        <v>2591</v>
      </c>
      <c r="C31" s="19" t="n">
        <f aca="false">สมมติฐาน!$D$7+A31-1</f>
        <v>46</v>
      </c>
      <c r="D31" s="20" t="str">
        <f aca="false">IF(C31&lt;สมมติฐาน!$D$8,"รับราชการ","รับบำนาญ")</f>
        <v>รับราชการ</v>
      </c>
      <c r="E31" s="21" t="n">
        <f aca="false">(1+สมมติฐาน!$B$43)^(A31-1)</f>
        <v>1.54597967077588</v>
      </c>
      <c r="F31" s="14" t="n">
        <f aca="false">IF(D31="รับราชการ",สมมติฐาน!$D$13*(1+สมมติฐาน!$D$15)^(A31-1)*E31,0)</f>
        <v>71884.6586398805</v>
      </c>
      <c r="G31" s="14" t="n">
        <f aca="false">F31*12</f>
        <v>862615.903678566</v>
      </c>
      <c r="H31" s="14" t="n">
        <f aca="false">IF(D31="รับราชการ",IF(A31&gt;=สมมติฐาน!$D$19,สมมติฐาน!$D$18,IF(A31&gt;=สมมติฐาน!$D$17,สมมติฐาน!$D$16,0))*12*E31,0)</f>
        <v>103889.833876139</v>
      </c>
      <c r="I31" s="14" t="n">
        <f aca="false">G31*สมมติฐาน!$D$21</f>
        <v>43130.7951839283</v>
      </c>
      <c r="J31" s="14" t="n">
        <f aca="false">IF(AND(D31="รับราชการ",A31&lt;=สมมติฐาน!$D$23),สมมติฐาน!$D$22*12*E31,0)</f>
        <v>0</v>
      </c>
      <c r="K31" s="14" t="n">
        <f aca="false">IF(AND(D31="รับราชการ",A31&gt;=สมมติฐาน!$D$27,A31&lt;สมมติฐาน!$D$27+สมมติฐาน!$D$28),สมมติฐาน!$D$25*สมมติฐาน!$D$26*E31,0)</f>
        <v>77298.983538794</v>
      </c>
      <c r="L31" s="14" t="n">
        <f aca="false">G31*สมมติฐาน!$D$20</f>
        <v>34504.6361471426</v>
      </c>
      <c r="M31" s="19" t="n">
        <f aca="false">IF(D31="รับราชการ",สมมติฐาน!$D$30+IF(AND(A31&gt;=สมมติฐาน!$D$32,A31&lt;=สมมติฐาน!$D$33),สมมติฐาน!$D$31,0),0)</f>
        <v>4</v>
      </c>
      <c r="N31" s="19" t="n">
        <f aca="false">IF(AND(A31&gt;=สมมติฐาน!$D$35,A31&lt;=สมมติฐาน!$D$36),สมมติฐาน!$D$34,0)+IF(D31="รับราชการ",0,สมมติฐาน!$D$37)</f>
        <v>0</v>
      </c>
      <c r="O31" s="21" t="n">
        <f aca="false">(1+สมมติฐาน!$B$43)^(A31-1)*(1+สมมติฐาน!$B$44)^(A31-1)</f>
        <v>2.3900531424523</v>
      </c>
      <c r="P31" s="14" t="n">
        <f aca="false">(M31*สมมติฐาน!$D$38+N31*สมมติฐาน!$D$39)*O31</f>
        <v>86041.9131282828</v>
      </c>
      <c r="Q31" s="14" t="n">
        <f aca="false">IF(D31="รับราชการ",0,$AB$6*12*(1+สมมติฐาน!$B$46)^(A31-36-1))</f>
        <v>0</v>
      </c>
      <c r="R31" s="14" t="n">
        <f aca="false">IF(C31=สมมติฐาน!$D$8,$AB$7,0)+IF(C31=65,$AB$9,0)+IF(A31=62,$AB$10+$AB$11,0)</f>
        <v>0</v>
      </c>
      <c r="S31" s="14" t="n">
        <f aca="false">G31+H31+I31+J31+K31+L31+P31+Q31+R31</f>
        <v>1207482.06555285</v>
      </c>
      <c r="T31" s="14" t="n">
        <f aca="false">S31/E31</f>
        <v>781046.535331771</v>
      </c>
      <c r="U31" s="21" t="n">
        <f aca="false">1/(1+สมมติฐาน!$B$45)^(A31-1)</f>
        <v>0.421955386650603</v>
      </c>
      <c r="V31" s="14" t="n">
        <f aca="false">S31*U31</f>
        <v>509503.561844023</v>
      </c>
    </row>
    <row r="32" customFormat="false" ht="15" hidden="false" customHeight="true" outlineLevel="0" collapsed="false">
      <c r="A32" s="22" t="n">
        <v>24</v>
      </c>
      <c r="B32" s="22" t="n">
        <f aca="false">สมมติฐาน!$B$42+A32-1</f>
        <v>2592</v>
      </c>
      <c r="C32" s="22" t="n">
        <f aca="false">สมมติฐาน!$D$7+A32-1</f>
        <v>47</v>
      </c>
      <c r="D32" s="23" t="str">
        <f aca="false">IF(C32&lt;สมมติฐาน!$D$8,"รับราชการ","รับบำนาญ")</f>
        <v>รับราชการ</v>
      </c>
      <c r="E32" s="24" t="n">
        <f aca="false">(1+สมมติฐาน!$B$43)^(A32-1)</f>
        <v>1.5768992641914</v>
      </c>
      <c r="F32" s="25" t="n">
        <f aca="false">IF(D32="รับราชการ",สมมติฐาน!$D$13*(1+สมมติฐาน!$D$15)^(A32-1)*E32,0)</f>
        <v>75990.5185908357</v>
      </c>
      <c r="G32" s="25" t="n">
        <f aca="false">F32*12</f>
        <v>911886.223090029</v>
      </c>
      <c r="H32" s="25" t="n">
        <f aca="false">IF(D32="รับราชการ",IF(A32&gt;=สมมติฐาน!$D$19,สมมติฐาน!$D$18,IF(A32&gt;=สมมติฐาน!$D$17,สมมติฐาน!$D$16,0))*12*E32,0)</f>
        <v>378455.823405936</v>
      </c>
      <c r="I32" s="25" t="n">
        <f aca="false">G32*สมมติฐาน!$D$21</f>
        <v>45594.3111545015</v>
      </c>
      <c r="J32" s="25" t="n">
        <f aca="false">IF(AND(D32="รับราชการ",A32&lt;=สมมติฐาน!$D$23),สมมติฐาน!$D$22*12*E32,0)</f>
        <v>0</v>
      </c>
      <c r="K32" s="25" t="n">
        <f aca="false">IF(AND(D32="รับราชการ",A32&gt;=สมมติฐาน!$D$27,A32&lt;สมมติฐาน!$D$27+สมมติฐาน!$D$28),สมมติฐาน!$D$25*สมมติฐาน!$D$26*E32,0)</f>
        <v>78844.9632095699</v>
      </c>
      <c r="L32" s="25" t="n">
        <f aca="false">G32*สมมติฐาน!$D$20</f>
        <v>36475.4489236012</v>
      </c>
      <c r="M32" s="22" t="n">
        <f aca="false">IF(D32="รับราชการ",สมมติฐาน!$D$30+IF(AND(A32&gt;=สมมติฐาน!$D$32,A32&lt;=สมมติฐาน!$D$33),สมมติฐาน!$D$31,0),0)</f>
        <v>4</v>
      </c>
      <c r="N32" s="22" t="n">
        <f aca="false">IF(AND(A32&gt;=สมมติฐาน!$D$35,A32&lt;=สมมติฐาน!$D$36),สมมติฐาน!$D$34,0)+IF(D32="รับราชการ",0,สมมติฐาน!$D$37)</f>
        <v>0</v>
      </c>
      <c r="O32" s="24" t="n">
        <f aca="false">(1+สมมติฐาน!$B$43)^(A32-1)*(1+สมมติฐาน!$B$44)^(A32-1)</f>
        <v>2.48661128940737</v>
      </c>
      <c r="P32" s="25" t="n">
        <f aca="false">(M32*สมมติฐาน!$D$38+N32*สมมติฐาน!$D$39)*O32</f>
        <v>89518.0064186654</v>
      </c>
      <c r="Q32" s="25" t="n">
        <f aca="false">IF(D32="รับราชการ",0,$AB$6*12*(1+สมมติฐาน!$B$46)^(A32-36-1))</f>
        <v>0</v>
      </c>
      <c r="R32" s="25" t="n">
        <f aca="false">IF(C32=สมมติฐาน!$D$8,$AB$7,0)+IF(C32=65,$AB$9,0)+IF(A32=62,$AB$10+$AB$11,0)</f>
        <v>0</v>
      </c>
      <c r="S32" s="25" t="n">
        <f aca="false">G32+H32+I32+J32+K32+L32+P32+Q32+R32</f>
        <v>1540774.7762023</v>
      </c>
      <c r="T32" s="25" t="n">
        <f aca="false">S32/E32</f>
        <v>977091.442167918</v>
      </c>
      <c r="U32" s="24" t="n">
        <f aca="false">1/(1+สมมติฐาน!$B$45)^(A32-1)</f>
        <v>0.405726333317887</v>
      </c>
      <c r="V32" s="25" t="n">
        <f aca="false">S32*U32</f>
        <v>625132.900417249</v>
      </c>
    </row>
    <row r="33" customFormat="false" ht="15" hidden="false" customHeight="true" outlineLevel="0" collapsed="false">
      <c r="A33" s="19" t="n">
        <v>25</v>
      </c>
      <c r="B33" s="19" t="n">
        <f aca="false">สมมติฐาน!$B$42+A33-1</f>
        <v>2593</v>
      </c>
      <c r="C33" s="19" t="n">
        <f aca="false">สมมติฐาน!$D$7+A33-1</f>
        <v>48</v>
      </c>
      <c r="D33" s="20" t="str">
        <f aca="false">IF(C33&lt;สมมติฐาน!$D$8,"รับราชการ","รับบำนาญ")</f>
        <v>รับราชการ</v>
      </c>
      <c r="E33" s="21" t="n">
        <f aca="false">(1+สมมติฐาน!$B$43)^(A33-1)</f>
        <v>1.60843724947523</v>
      </c>
      <c r="F33" s="14" t="n">
        <f aca="false">IF(D33="รับราชการ",สมมติฐาน!$D$13*(1+สมมติฐาน!$D$15)^(A33-1)*E33,0)</f>
        <v>80330.8943099093</v>
      </c>
      <c r="G33" s="14" t="n">
        <f aca="false">F33*12</f>
        <v>963970.731718912</v>
      </c>
      <c r="H33" s="14" t="n">
        <f aca="false">IF(D33="รับราชการ",IF(A33&gt;=สมมติฐาน!$D$19,สมมติฐาน!$D$18,IF(A33&gt;=สมมติฐาน!$D$17,สมมติฐาน!$D$16,0))*12*E33,0)</f>
        <v>386024.939874054</v>
      </c>
      <c r="I33" s="14" t="n">
        <f aca="false">G33*สมมติฐาน!$D$21</f>
        <v>48198.5365859456</v>
      </c>
      <c r="J33" s="14" t="n">
        <f aca="false">IF(AND(D33="รับราชการ",A33&lt;=สมมติฐาน!$D$23),สมมติฐาน!$D$22*12*E33,0)</f>
        <v>0</v>
      </c>
      <c r="K33" s="14" t="n">
        <f aca="false">IF(AND(D33="รับราชการ",A33&gt;=สมมติฐาน!$D$27,A33&lt;สมมติฐาน!$D$27+สมมติฐาน!$D$28),สมมติฐาน!$D$25*สมมติฐาน!$D$26*E33,0)</f>
        <v>80421.8624737613</v>
      </c>
      <c r="L33" s="14" t="n">
        <f aca="false">G33*สมมติฐาน!$D$20</f>
        <v>38558.8292687565</v>
      </c>
      <c r="M33" s="19" t="n">
        <f aca="false">IF(D33="รับราชการ",สมมติฐาน!$D$30+IF(AND(A33&gt;=สมมติฐาน!$D$32,A33&lt;=สมมติฐาน!$D$33),สมมติฐาน!$D$31,0),0)</f>
        <v>4</v>
      </c>
      <c r="N33" s="19" t="n">
        <f aca="false">IF(AND(A33&gt;=สมมติฐาน!$D$35,A33&lt;=สมมติฐาน!$D$36),สมมติฐาน!$D$34,0)+IF(D33="รับราชการ",0,สมมติฐาน!$D$37)</f>
        <v>0</v>
      </c>
      <c r="O33" s="21" t="n">
        <f aca="false">(1+สมมติฐาน!$B$43)^(A33-1)*(1+สมมติฐาน!$B$44)^(A33-1)</f>
        <v>2.58707038549943</v>
      </c>
      <c r="P33" s="14" t="n">
        <f aca="false">(M33*สมมติฐาน!$D$38+N33*สมมติฐาน!$D$39)*O33</f>
        <v>93134.5338779795</v>
      </c>
      <c r="Q33" s="14" t="n">
        <f aca="false">IF(D33="รับราชการ",0,$AB$6*12*(1+สมมติฐาน!$B$46)^(A33-36-1))</f>
        <v>0</v>
      </c>
      <c r="R33" s="14" t="n">
        <f aca="false">IF(C33=สมมติฐาน!$D$8,$AB$7,0)+IF(C33=65,$AB$9,0)+IF(A33=62,$AB$10+$AB$11,0)</f>
        <v>0</v>
      </c>
      <c r="S33" s="14" t="n">
        <f aca="false">G33+H33+I33+J33+K33+L33+P33+Q33+R33</f>
        <v>1610309.43379941</v>
      </c>
      <c r="T33" s="14" t="n">
        <f aca="false">S33/E33</f>
        <v>1001163.97722373</v>
      </c>
      <c r="U33" s="21" t="n">
        <f aca="false">1/(1+สมมติฐาน!$B$45)^(A33-1)</f>
        <v>0.390121474344123</v>
      </c>
      <c r="V33" s="14" t="n">
        <f aca="false">S33*U33</f>
        <v>628216.290464075</v>
      </c>
    </row>
    <row r="34" customFormat="false" ht="15" hidden="false" customHeight="true" outlineLevel="0" collapsed="false">
      <c r="A34" s="22" t="n">
        <v>26</v>
      </c>
      <c r="B34" s="22" t="n">
        <f aca="false">สมมติฐาน!$B$42+A34-1</f>
        <v>2594</v>
      </c>
      <c r="C34" s="22" t="n">
        <f aca="false">สมมติฐาน!$D$7+A34-1</f>
        <v>49</v>
      </c>
      <c r="D34" s="23" t="str">
        <f aca="false">IF(C34&lt;สมมติฐาน!$D$8,"รับราชการ","รับบำนาญ")</f>
        <v>รับราชการ</v>
      </c>
      <c r="E34" s="24" t="n">
        <f aca="false">(1+สมมติฐาน!$B$43)^(A34-1)</f>
        <v>1.64060599446473</v>
      </c>
      <c r="F34" s="25" t="n">
        <f aca="false">IF(D34="รับราชการ",สมมติฐาน!$D$13*(1+สมมติฐาน!$D$15)^(A34-1)*E34,0)</f>
        <v>84919.1807122112</v>
      </c>
      <c r="G34" s="25" t="n">
        <f aca="false">F34*12</f>
        <v>1019030.16854653</v>
      </c>
      <c r="H34" s="25" t="n">
        <f aca="false">IF(D34="รับราชการ",IF(A34&gt;=สมมติฐาน!$D$19,สมมติฐาน!$D$18,IF(A34&gt;=สมมติฐาน!$D$17,สมมติฐาน!$D$16,0))*12*E34,0)</f>
        <v>393745.438671535</v>
      </c>
      <c r="I34" s="25" t="n">
        <f aca="false">G34*สมมติฐาน!$D$21</f>
        <v>50951.5084273267</v>
      </c>
      <c r="J34" s="25" t="n">
        <f aca="false">IF(AND(D34="รับราชการ",A34&lt;=สมมติฐาน!$D$23),สมมติฐาน!$D$22*12*E34,0)</f>
        <v>0</v>
      </c>
      <c r="K34" s="25" t="n">
        <f aca="false">IF(AND(D34="รับราชการ",A34&gt;=สมมติฐาน!$D$27,A34&lt;สมมติฐาน!$D$27+สมมติฐาน!$D$28),สมมติฐาน!$D$25*สมมติฐาน!$D$26*E34,0)</f>
        <v>0</v>
      </c>
      <c r="L34" s="25" t="n">
        <f aca="false">G34*สมมติฐาน!$D$20</f>
        <v>40761.2067418614</v>
      </c>
      <c r="M34" s="22" t="n">
        <f aca="false">IF(D34="รับราชการ",สมมติฐาน!$D$30+IF(AND(A34&gt;=สมมติฐาน!$D$32,A34&lt;=สมมติฐาน!$D$33),สมมติฐาน!$D$31,0),0)</f>
        <v>4</v>
      </c>
      <c r="N34" s="22" t="n">
        <f aca="false">IF(AND(A34&gt;=สมมติฐาน!$D$35,A34&lt;=สมมติฐาน!$D$36),สมมติฐาน!$D$34,0)+IF(D34="รับราชการ",0,สมมติฐาน!$D$37)</f>
        <v>0</v>
      </c>
      <c r="O34" s="24" t="n">
        <f aca="false">(1+สมมติฐาน!$B$43)^(A34-1)*(1+สมมติฐาน!$B$44)^(A34-1)</f>
        <v>2.69158802907361</v>
      </c>
      <c r="P34" s="25" t="n">
        <f aca="false">(M34*สมมติฐาน!$D$38+N34*สมมติฐาน!$D$39)*O34</f>
        <v>96897.1690466499</v>
      </c>
      <c r="Q34" s="25" t="n">
        <f aca="false">IF(D34="รับราชการ",0,$AB$6*12*(1+สมมติฐาน!$B$46)^(A34-36-1))</f>
        <v>0</v>
      </c>
      <c r="R34" s="25" t="n">
        <f aca="false">IF(C34=สมมติฐาน!$D$8,$AB$7,0)+IF(C34=65,$AB$9,0)+IF(A34=62,$AB$10+$AB$11,0)</f>
        <v>0</v>
      </c>
      <c r="S34" s="25" t="n">
        <f aca="false">G34+H34+I34+J34+K34+L34+P34+Q34+R34</f>
        <v>1601385.49143391</v>
      </c>
      <c r="T34" s="25" t="n">
        <f aca="false">S34/E34</f>
        <v>976093.892645065</v>
      </c>
      <c r="U34" s="24" t="n">
        <f aca="false">1/(1+สมมติฐาน!$B$45)^(A34-1)</f>
        <v>0.375116802253964</v>
      </c>
      <c r="V34" s="25" t="n">
        <f aca="false">S34*U34</f>
        <v>600706.60472258</v>
      </c>
    </row>
    <row r="35" customFormat="false" ht="15" hidden="false" customHeight="true" outlineLevel="0" collapsed="false">
      <c r="A35" s="19" t="n">
        <v>27</v>
      </c>
      <c r="B35" s="19" t="n">
        <f aca="false">สมมติฐาน!$B$42+A35-1</f>
        <v>2595</v>
      </c>
      <c r="C35" s="19" t="n">
        <f aca="false">สมมติฐาน!$D$7+A35-1</f>
        <v>50</v>
      </c>
      <c r="D35" s="20" t="str">
        <f aca="false">IF(C35&lt;สมมติฐาน!$D$8,"รับราชการ","รับบำนาญ")</f>
        <v>รับราชการ</v>
      </c>
      <c r="E35" s="21" t="n">
        <f aca="false">(1+สมมติฐาน!$B$43)^(A35-1)</f>
        <v>1.67341811435403</v>
      </c>
      <c r="F35" s="14" t="n">
        <f aca="false">IF(D35="รับราชการ",สมมติฐาน!$D$13*(1+สมมติฐาน!$D$15)^(A35-1)*E35,0)</f>
        <v>89769.5377946716</v>
      </c>
      <c r="G35" s="14" t="n">
        <f aca="false">F35*12</f>
        <v>1077234.45353606</v>
      </c>
      <c r="H35" s="14" t="n">
        <f aca="false">IF(D35="รับราชการ",IF(A35&gt;=สมมติฐาน!$D$19,สมมติฐาน!$D$18,IF(A35&gt;=สมมติฐาน!$D$17,สมมติฐาน!$D$16,0))*12*E35,0)</f>
        <v>401620.347444966</v>
      </c>
      <c r="I35" s="14" t="n">
        <f aca="false">G35*สมมติฐาน!$D$21</f>
        <v>53861.722676803</v>
      </c>
      <c r="J35" s="14" t="n">
        <f aca="false">IF(AND(D35="รับราชการ",A35&lt;=สมมติฐาน!$D$23),สมมติฐาน!$D$22*12*E35,0)</f>
        <v>0</v>
      </c>
      <c r="K35" s="14" t="n">
        <f aca="false">IF(AND(D35="รับราชการ",A35&gt;=สมมติฐาน!$D$27,A35&lt;สมมติฐาน!$D$27+สมมติฐาน!$D$28),สมมติฐาน!$D$25*สมมติฐาน!$D$26*E35,0)</f>
        <v>0</v>
      </c>
      <c r="L35" s="14" t="n">
        <f aca="false">G35*สมมติฐาน!$D$20</f>
        <v>43089.3781414424</v>
      </c>
      <c r="M35" s="19" t="n">
        <f aca="false">IF(D35="รับราชการ",สมมติฐาน!$D$30+IF(AND(A35&gt;=สมมติฐาน!$D$32,A35&lt;=สมมติฐาน!$D$33),สมมติฐาน!$D$31,0),0)</f>
        <v>4</v>
      </c>
      <c r="N35" s="19" t="n">
        <f aca="false">IF(AND(A35&gt;=สมมติฐาน!$D$35,A35&lt;=สมมติฐาน!$D$36),สมมติฐาน!$D$34,0)+IF(D35="รับราชการ",0,สมมติฐาน!$D$37)</f>
        <v>0</v>
      </c>
      <c r="O35" s="21" t="n">
        <f aca="false">(1+สมมติฐาน!$B$43)^(A35-1)*(1+สมมติฐาน!$B$44)^(A35-1)</f>
        <v>2.80032818544818</v>
      </c>
      <c r="P35" s="14" t="n">
        <f aca="false">(M35*สมมติฐาน!$D$38+N35*สมมติฐาน!$D$39)*O35</f>
        <v>100811.814676135</v>
      </c>
      <c r="Q35" s="14" t="n">
        <f aca="false">IF(D35="รับราชการ",0,$AB$6*12*(1+สมมติฐาน!$B$46)^(A35-36-1))</f>
        <v>0</v>
      </c>
      <c r="R35" s="14" t="n">
        <f aca="false">IF(C35=สมมติฐาน!$D$8,$AB$7,0)+IF(C35=65,$AB$9,0)+IF(A35=62,$AB$10+$AB$11,0)</f>
        <v>0</v>
      </c>
      <c r="S35" s="14" t="n">
        <f aca="false">G35+H35+I35+J35+K35+L35+P35+Q35+R35</f>
        <v>1676617.71647541</v>
      </c>
      <c r="T35" s="14" t="n">
        <f aca="false">S35/E35</f>
        <v>1001912.01594744</v>
      </c>
      <c r="U35" s="21" t="n">
        <f aca="false">1/(1+สมมติฐาน!$B$45)^(A35-1)</f>
        <v>0.360689232936504</v>
      </c>
      <c r="V35" s="14" t="n">
        <f aca="false">S35*U35</f>
        <v>604737.958083267</v>
      </c>
    </row>
    <row r="36" customFormat="false" ht="15" hidden="false" customHeight="true" outlineLevel="0" collapsed="false">
      <c r="A36" s="22" t="n">
        <v>28</v>
      </c>
      <c r="B36" s="22" t="n">
        <f aca="false">สมมติฐาน!$B$42+A36-1</f>
        <v>2596</v>
      </c>
      <c r="C36" s="22" t="n">
        <f aca="false">สมมติฐาน!$D$7+A36-1</f>
        <v>51</v>
      </c>
      <c r="D36" s="23" t="str">
        <f aca="false">IF(C36&lt;สมมติฐาน!$D$8,"รับราชการ","รับบำนาญ")</f>
        <v>รับราชการ</v>
      </c>
      <c r="E36" s="24" t="n">
        <f aca="false">(1+สมมติฐาน!$B$43)^(A36-1)</f>
        <v>1.70688647664111</v>
      </c>
      <c r="F36" s="25" t="n">
        <f aca="false">IF(D36="รับราชการ",สมมติฐาน!$D$13*(1+สมมติฐาน!$D$15)^(A36-1)*E36,0)</f>
        <v>94896.9343354743</v>
      </c>
      <c r="G36" s="25" t="n">
        <f aca="false">F36*12</f>
        <v>1138763.21202569</v>
      </c>
      <c r="H36" s="25" t="n">
        <f aca="false">IF(D36="รับราชการ",IF(A36&gt;=สมมติฐาน!$D$19,สมมติฐาน!$D$18,IF(A36&gt;=สมมติฐาน!$D$17,สมมติฐาน!$D$16,0))*12*E36,0)</f>
        <v>409652.754393865</v>
      </c>
      <c r="I36" s="25" t="n">
        <f aca="false">G36*สมมติฐาน!$D$21</f>
        <v>56938.1606012846</v>
      </c>
      <c r="J36" s="25" t="n">
        <f aca="false">IF(AND(D36="รับราชการ",A36&lt;=สมมติฐาน!$D$23),สมมติฐาน!$D$22*12*E36,0)</f>
        <v>0</v>
      </c>
      <c r="K36" s="25" t="n">
        <f aca="false">IF(AND(D36="รับราชการ",A36&gt;=สมมติฐาน!$D$27,A36&lt;สมมติฐาน!$D$27+สมมติฐาน!$D$28),สมมติฐาน!$D$25*สมมติฐาน!$D$26*E36,0)</f>
        <v>0</v>
      </c>
      <c r="L36" s="25" t="n">
        <f aca="false">G36*สมมติฐาน!$D$20</f>
        <v>45550.5284810277</v>
      </c>
      <c r="M36" s="22" t="n">
        <f aca="false">IF(D36="รับราชการ",สมมติฐาน!$D$30+IF(AND(A36&gt;=สมมติฐาน!$D$32,A36&lt;=สมมติฐาน!$D$33),สมมติฐาน!$D$31,0),0)</f>
        <v>2</v>
      </c>
      <c r="N36" s="22" t="n">
        <f aca="false">IF(AND(A36&gt;=สมมติฐาน!$D$35,A36&lt;=สมมติฐาน!$D$36),สมมติฐาน!$D$34,0)+IF(D36="รับราชการ",0,สมมติฐาน!$D$37)</f>
        <v>0</v>
      </c>
      <c r="O36" s="24" t="n">
        <f aca="false">(1+สมมติฐาน!$B$43)^(A36-1)*(1+สมมติฐาน!$B$44)^(A36-1)</f>
        <v>2.91346144414029</v>
      </c>
      <c r="P36" s="25" t="n">
        <f aca="false">(M36*สมมติฐาน!$D$38+N36*สมมติฐาน!$D$39)*O36</f>
        <v>52442.3059945252</v>
      </c>
      <c r="Q36" s="25" t="n">
        <f aca="false">IF(D36="รับราชการ",0,$AB$6*12*(1+สมมติฐาน!$B$46)^(A36-36-1))</f>
        <v>0</v>
      </c>
      <c r="R36" s="25" t="n">
        <f aca="false">IF(C36=สมมติฐาน!$D$8,$AB$7,0)+IF(C36=65,$AB$9,0)+IF(A36=62,$AB$10+$AB$11,0)</f>
        <v>0</v>
      </c>
      <c r="S36" s="25" t="n">
        <f aca="false">G36+H36+I36+J36+K36+L36+P36+Q36+R36</f>
        <v>1703346.96149639</v>
      </c>
      <c r="T36" s="25" t="n">
        <f aca="false">S36/E36</f>
        <v>997926.332422718</v>
      </c>
      <c r="U36" s="24" t="n">
        <f aca="false">1/(1+สมมติฐาน!$B$45)^(A36-1)</f>
        <v>0.346816570131254</v>
      </c>
      <c r="V36" s="25" t="n">
        <f aca="false">S36*U36</f>
        <v>590748.950929672</v>
      </c>
    </row>
    <row r="37" customFormat="false" ht="15" hidden="false" customHeight="true" outlineLevel="0" collapsed="false">
      <c r="A37" s="19" t="n">
        <v>29</v>
      </c>
      <c r="B37" s="19" t="n">
        <f aca="false">สมมติฐาน!$B$42+A37-1</f>
        <v>2597</v>
      </c>
      <c r="C37" s="19" t="n">
        <f aca="false">สมมติฐาน!$D$7+A37-1</f>
        <v>52</v>
      </c>
      <c r="D37" s="20" t="str">
        <f aca="false">IF(C37&lt;สมมติฐาน!$D$8,"รับราชการ","รับบำนาญ")</f>
        <v>รับราชการ</v>
      </c>
      <c r="E37" s="21" t="n">
        <f aca="false">(1+สมมติฐาน!$B$43)^(A37-1)</f>
        <v>1.74102420617393</v>
      </c>
      <c r="F37" s="14" t="n">
        <f aca="false">IF(D37="รับราชการ",สมมติฐาน!$D$13*(1+สมมติฐาน!$D$15)^(A37-1)*E37,0)</f>
        <v>100317.194089484</v>
      </c>
      <c r="G37" s="14" t="n">
        <f aca="false">F37*12</f>
        <v>1203806.32907381</v>
      </c>
      <c r="H37" s="14" t="n">
        <f aca="false">IF(D37="รับราชการ",IF(A37&gt;=สมมติฐาน!$D$19,สมมติฐาน!$D$18,IF(A37&gt;=สมมติฐาน!$D$17,สมมติฐาน!$D$16,0))*12*E37,0)</f>
        <v>417845.809481743</v>
      </c>
      <c r="I37" s="14" t="n">
        <f aca="false">G37*สมมติฐาน!$D$21</f>
        <v>60190.3164536903</v>
      </c>
      <c r="J37" s="14" t="n">
        <f aca="false">IF(AND(D37="รับราชการ",A37&lt;=สมมติฐาน!$D$23),สมมติฐาน!$D$22*12*E37,0)</f>
        <v>0</v>
      </c>
      <c r="K37" s="14" t="n">
        <f aca="false">IF(AND(D37="รับราชการ",A37&gt;=สมมติฐาน!$D$27,A37&lt;สมมติฐาน!$D$27+สมมติฐาน!$D$28),สมมติฐาน!$D$25*สมมติฐาน!$D$26*E37,0)</f>
        <v>0</v>
      </c>
      <c r="L37" s="14" t="n">
        <f aca="false">G37*สมมติฐาน!$D$20</f>
        <v>48152.2531629522</v>
      </c>
      <c r="M37" s="19" t="n">
        <f aca="false">IF(D37="รับราชการ",สมมติฐาน!$D$30+IF(AND(A37&gt;=สมมติฐาน!$D$32,A37&lt;=สมมติฐาน!$D$33),สมมติฐาน!$D$31,0),0)</f>
        <v>2</v>
      </c>
      <c r="N37" s="19" t="n">
        <f aca="false">IF(AND(A37&gt;=สมมติฐาน!$D$35,A37&lt;=สมมติฐาน!$D$36),สมมติฐาน!$D$34,0)+IF(D37="รับราชการ",0,สมมติฐาน!$D$37)</f>
        <v>0</v>
      </c>
      <c r="O37" s="21" t="n">
        <f aca="false">(1+สมมติฐาน!$B$43)^(A37-1)*(1+สมมติฐาน!$B$44)^(A37-1)</f>
        <v>3.03116528648356</v>
      </c>
      <c r="P37" s="14" t="n">
        <f aca="false">(M37*สมมติฐาน!$D$38+N37*สมมติฐาน!$D$39)*O37</f>
        <v>54560.975156704</v>
      </c>
      <c r="Q37" s="14" t="n">
        <f aca="false">IF(D37="รับราชการ",0,$AB$6*12*(1+สมมติฐาน!$B$46)^(A37-36-1))</f>
        <v>0</v>
      </c>
      <c r="R37" s="14" t="n">
        <f aca="false">IF(C37=สมมติฐาน!$D$8,$AB$7,0)+IF(C37=65,$AB$9,0)+IF(A37=62,$AB$10+$AB$11,0)</f>
        <v>0</v>
      </c>
      <c r="S37" s="14" t="n">
        <f aca="false">G37+H37+I37+J37+K37+L37+P37+Q37+R37</f>
        <v>1784555.68332889</v>
      </c>
      <c r="T37" s="14" t="n">
        <f aca="false">S37/E37</f>
        <v>1025003.37272773</v>
      </c>
      <c r="U37" s="21" t="n">
        <f aca="false">1/(1+สมมติฐาน!$B$45)^(A37-1)</f>
        <v>0.333477471280052</v>
      </c>
      <c r="V37" s="14" t="n">
        <f aca="false">S37*U37</f>
        <v>595109.116634964</v>
      </c>
    </row>
    <row r="38" customFormat="false" ht="15" hidden="false" customHeight="true" outlineLevel="0" collapsed="false">
      <c r="A38" s="22" t="n">
        <v>30</v>
      </c>
      <c r="B38" s="22" t="n">
        <f aca="false">สมมติฐาน!$B$42+A38-1</f>
        <v>2598</v>
      </c>
      <c r="C38" s="22" t="n">
        <f aca="false">สมมติฐาน!$D$7+A38-1</f>
        <v>53</v>
      </c>
      <c r="D38" s="23" t="str">
        <f aca="false">IF(C38&lt;สมมติฐาน!$D$8,"รับราชการ","รับบำนาญ")</f>
        <v>รับราชการ</v>
      </c>
      <c r="E38" s="24" t="n">
        <f aca="false">(1+สมมติฐาน!$B$43)^(A38-1)</f>
        <v>1.77584469029741</v>
      </c>
      <c r="F38" s="25" t="n">
        <f aca="false">IF(D38="รับราชการ",สมมติฐาน!$D$13*(1+สมมติฐาน!$D$15)^(A38-1)*E38,0)</f>
        <v>106047.044622233</v>
      </c>
      <c r="G38" s="25" t="n">
        <f aca="false">F38*12</f>
        <v>1272564.5354668</v>
      </c>
      <c r="H38" s="25" t="n">
        <f aca="false">IF(D38="รับราชการ",IF(A38&gt;=สมมติฐาน!$D$19,สมมติฐาน!$D$18,IF(A38&gt;=สมมติฐาน!$D$17,สมมติฐาน!$D$16,0))*12*E38,0)</f>
        <v>426202.725671378</v>
      </c>
      <c r="I38" s="25" t="n">
        <f aca="false">G38*สมมติฐาน!$D$21</f>
        <v>63628.2267733398</v>
      </c>
      <c r="J38" s="25" t="n">
        <f aca="false">IF(AND(D38="รับราชการ",A38&lt;=สมมติฐาน!$D$23),สมมติฐาน!$D$22*12*E38,0)</f>
        <v>0</v>
      </c>
      <c r="K38" s="25" t="n">
        <f aca="false">IF(AND(D38="รับราชการ",A38&gt;=สมมติฐาน!$D$27,A38&lt;สมมติฐาน!$D$27+สมมติฐาน!$D$28),สมมติฐาน!$D$25*สมมติฐาน!$D$26*E38,0)</f>
        <v>0</v>
      </c>
      <c r="L38" s="25" t="n">
        <f aca="false">G38*สมมติฐาน!$D$20</f>
        <v>50902.5814186718</v>
      </c>
      <c r="M38" s="22" t="n">
        <f aca="false">IF(D38="รับราชการ",สมมติฐาน!$D$30+IF(AND(A38&gt;=สมมติฐาน!$D$32,A38&lt;=สมมติฐาน!$D$33),สมมติฐาน!$D$31,0),0)</f>
        <v>2</v>
      </c>
      <c r="N38" s="22" t="n">
        <f aca="false">IF(AND(A38&gt;=สมมติฐาน!$D$35,A38&lt;=สมมติฐาน!$D$36),สมมติฐาน!$D$34,0)+IF(D38="รับราชการ",0,สมมติฐาน!$D$37)</f>
        <v>0</v>
      </c>
      <c r="O38" s="24" t="n">
        <f aca="false">(1+สมมติฐาน!$B$43)^(A38-1)*(1+สมมติฐาน!$B$44)^(A38-1)</f>
        <v>3.15362436405749</v>
      </c>
      <c r="P38" s="25" t="n">
        <f aca="false">(M38*สมมติฐาน!$D$38+N38*สมมติฐาน!$D$39)*O38</f>
        <v>56765.2385530349</v>
      </c>
      <c r="Q38" s="25" t="n">
        <f aca="false">IF(D38="รับราชการ",0,$AB$6*12*(1+สมมติฐาน!$B$46)^(A38-36-1))</f>
        <v>0</v>
      </c>
      <c r="R38" s="25" t="n">
        <f aca="false">IF(C38=สมมติฐาน!$D$8,$AB$7,0)+IF(C38=65,$AB$9,0)+IF(A38=62,$AB$10+$AB$11,0)</f>
        <v>0</v>
      </c>
      <c r="S38" s="25" t="n">
        <f aca="false">G38+H38+I38+J38+K38+L38+P38+Q38+R38</f>
        <v>1870063.30788322</v>
      </c>
      <c r="T38" s="25" t="n">
        <f aca="false">S38/E38</f>
        <v>1053055.66308844</v>
      </c>
      <c r="U38" s="24" t="n">
        <f aca="false">1/(1+สมมติฐาน!$B$45)^(A38-1)</f>
        <v>0.320651414692357</v>
      </c>
      <c r="V38" s="25" t="n">
        <f aca="false">S38*U38</f>
        <v>599638.445237023</v>
      </c>
    </row>
    <row r="39" customFormat="false" ht="15" hidden="false" customHeight="true" outlineLevel="0" collapsed="false">
      <c r="A39" s="19" t="n">
        <v>31</v>
      </c>
      <c r="B39" s="19" t="n">
        <f aca="false">สมมติฐาน!$B$42+A39-1</f>
        <v>2599</v>
      </c>
      <c r="C39" s="19" t="n">
        <f aca="false">สมมติฐาน!$D$7+A39-1</f>
        <v>54</v>
      </c>
      <c r="D39" s="20" t="str">
        <f aca="false">IF(C39&lt;สมมติฐาน!$D$8,"รับราชการ","รับบำนาญ")</f>
        <v>รับราชการ</v>
      </c>
      <c r="E39" s="21" t="n">
        <f aca="false">(1+สมมติฐาน!$B$43)^(A39-1)</f>
        <v>1.81136158410335</v>
      </c>
      <c r="F39" s="14" t="n">
        <f aca="false">IF(D39="รับราชการ",สมมติฐาน!$D$13*(1+สมมติฐาน!$D$15)^(A39-1)*E39,0)</f>
        <v>112104.168933178</v>
      </c>
      <c r="G39" s="14" t="n">
        <f aca="false">F39*12</f>
        <v>1345250.02719813</v>
      </c>
      <c r="H39" s="14" t="n">
        <f aca="false">IF(D39="รับราชการ",IF(A39&gt;=สมมติฐาน!$D$19,สมมติฐาน!$D$18,IF(A39&gt;=สมมติฐาน!$D$17,สมมติฐาน!$D$16,0))*12*E39,0)</f>
        <v>434726.780184805</v>
      </c>
      <c r="I39" s="14" t="n">
        <f aca="false">G39*สมมติฐาน!$D$21</f>
        <v>67262.5013599066</v>
      </c>
      <c r="J39" s="14" t="n">
        <f aca="false">IF(AND(D39="รับราชการ",A39&lt;=สมมติฐาน!$D$23),สมมติฐาน!$D$22*12*E39,0)</f>
        <v>0</v>
      </c>
      <c r="K39" s="14" t="n">
        <f aca="false">IF(AND(D39="รับราชการ",A39&gt;=สมมติฐาน!$D$27,A39&lt;สมมติฐาน!$D$27+สมมติฐาน!$D$28),สมมติฐาน!$D$25*สมมติฐาน!$D$26*E39,0)</f>
        <v>0</v>
      </c>
      <c r="L39" s="14" t="n">
        <f aca="false">G39*สมมติฐาน!$D$20</f>
        <v>53810.0010879253</v>
      </c>
      <c r="M39" s="19" t="n">
        <f aca="false">IF(D39="รับราชการ",สมมติฐาน!$D$30+IF(AND(A39&gt;=สมมติฐาน!$D$32,A39&lt;=สมมติฐาน!$D$33),สมมติฐาน!$D$31,0),0)</f>
        <v>2</v>
      </c>
      <c r="N39" s="19" t="n">
        <f aca="false">IF(AND(A39&gt;=สมมติฐาน!$D$35,A39&lt;=สมมติฐาน!$D$36),สมมติฐาน!$D$34,0)+IF(D39="รับราชการ",0,สมมติฐาน!$D$37)</f>
        <v>0</v>
      </c>
      <c r="O39" s="21" t="n">
        <f aca="false">(1+สมมติฐาน!$B$43)^(A39-1)*(1+สมมติฐาน!$B$44)^(A39-1)</f>
        <v>3.28103078836542</v>
      </c>
      <c r="P39" s="14" t="n">
        <f aca="false">(M39*สมมติฐาน!$D$38+N39*สมมติฐาน!$D$39)*O39</f>
        <v>59058.5541905775</v>
      </c>
      <c r="Q39" s="14" t="n">
        <f aca="false">IF(D39="รับราชการ",0,$AB$6*12*(1+สมมติฐาน!$B$46)^(A39-36-1))</f>
        <v>0</v>
      </c>
      <c r="R39" s="14" t="n">
        <f aca="false">IF(C39=สมมติฐาน!$D$8,$AB$7,0)+IF(C39=65,$AB$9,0)+IF(A39=62,$AB$10+$AB$11,0)</f>
        <v>0</v>
      </c>
      <c r="S39" s="14" t="n">
        <f aca="false">G39+H39+I39+J39+K39+L39+P39+Q39+R39</f>
        <v>1960107.86402135</v>
      </c>
      <c r="T39" s="14" t="n">
        <f aca="false">S39/E39</f>
        <v>1082118.49098678</v>
      </c>
      <c r="U39" s="21" t="n">
        <f aca="false">1/(1+สมมติฐาน!$B$45)^(A39-1)</f>
        <v>0.30831866797342</v>
      </c>
      <c r="V39" s="14" t="n">
        <f aca="false">S39*U39</f>
        <v>604337.845719288</v>
      </c>
    </row>
    <row r="40" customFormat="false" ht="15" hidden="false" customHeight="true" outlineLevel="0" collapsed="false">
      <c r="A40" s="22" t="n">
        <v>32</v>
      </c>
      <c r="B40" s="22" t="n">
        <f aca="false">สมมติฐาน!$B$42+A40-1</f>
        <v>2600</v>
      </c>
      <c r="C40" s="22" t="n">
        <f aca="false">สมมติฐาน!$D$7+A40-1</f>
        <v>55</v>
      </c>
      <c r="D40" s="23" t="str">
        <f aca="false">IF(C40&lt;สมมติฐาน!$D$8,"รับราชการ","รับบำนาญ")</f>
        <v>รับราชการ</v>
      </c>
      <c r="E40" s="24" t="n">
        <f aca="false">(1+สมมติฐาน!$B$43)^(A40-1)</f>
        <v>1.84758881578542</v>
      </c>
      <c r="F40" s="25" t="n">
        <f aca="false">IF(D40="รับราชการ",สมมติฐาน!$D$13*(1+สมมติฐาน!$D$15)^(A40-1)*E40,0)</f>
        <v>118507.260027534</v>
      </c>
      <c r="G40" s="25" t="n">
        <f aca="false">F40*12</f>
        <v>1422087.12033041</v>
      </c>
      <c r="H40" s="25" t="n">
        <f aca="false">IF(D40="รับราชการ",IF(A40&gt;=สมมติฐาน!$D$19,สมมติฐาน!$D$18,IF(A40&gt;=สมมติฐาน!$D$17,สมมติฐาน!$D$16,0))*12*E40,0)</f>
        <v>443421.315788501</v>
      </c>
      <c r="I40" s="25" t="n">
        <f aca="false">G40*สมมติฐาน!$D$21</f>
        <v>71104.3560165203</v>
      </c>
      <c r="J40" s="25" t="n">
        <f aca="false">IF(AND(D40="รับราชการ",A40&lt;=สมมติฐาน!$D$23),สมมติฐาน!$D$22*12*E40,0)</f>
        <v>0</v>
      </c>
      <c r="K40" s="25" t="n">
        <f aca="false">IF(AND(D40="รับราชการ",A40&gt;=สมมติฐาน!$D$27,A40&lt;สมมติฐาน!$D$27+สมมติฐาน!$D$28),สมมติฐาน!$D$25*สมมติฐาน!$D$26*E40,0)</f>
        <v>0</v>
      </c>
      <c r="L40" s="25" t="n">
        <f aca="false">G40*สมมติฐาน!$D$20</f>
        <v>56883.4848132163</v>
      </c>
      <c r="M40" s="22" t="n">
        <f aca="false">IF(D40="รับราชการ",สมมติฐาน!$D$30+IF(AND(A40&gt;=สมมติฐาน!$D$32,A40&lt;=สมมติฐาน!$D$33),สมมติฐาน!$D$31,0),0)</f>
        <v>2</v>
      </c>
      <c r="N40" s="22" t="n">
        <f aca="false">IF(AND(A40&gt;=สมมติฐาน!$D$35,A40&lt;=สมมติฐาน!$D$36),สมมติฐาน!$D$34,0)+IF(D40="รับราชการ",0,สมมติฐาน!$D$37)</f>
        <v>0</v>
      </c>
      <c r="O40" s="24" t="n">
        <f aca="false">(1+สมมติฐาน!$B$43)^(A40-1)*(1+สมมติฐาน!$B$44)^(A40-1)</f>
        <v>3.41358443221538</v>
      </c>
      <c r="P40" s="25" t="n">
        <f aca="false">(M40*สมมติฐาน!$D$38+N40*สมมติฐาน!$D$39)*O40</f>
        <v>61444.5197798768</v>
      </c>
      <c r="Q40" s="25" t="n">
        <f aca="false">IF(D40="รับราชการ",0,$AB$6*12*(1+สมมติฐาน!$B$46)^(A40-36-1))</f>
        <v>0</v>
      </c>
      <c r="R40" s="25" t="n">
        <f aca="false">IF(C40=สมมติฐาน!$D$8,$AB$7,0)+IF(C40=65,$AB$9,0)+IF(A40=62,$AB$10+$AB$11,0)</f>
        <v>0</v>
      </c>
      <c r="S40" s="25" t="n">
        <f aca="false">G40+H40+I40+J40+K40+L40+P40+Q40+R40</f>
        <v>2054940.79672852</v>
      </c>
      <c r="T40" s="25" t="n">
        <f aca="false">S40/E40</f>
        <v>1112228.42397157</v>
      </c>
      <c r="U40" s="24" t="n">
        <f aca="false">1/(1+สมมติฐาน!$B$45)^(A40-1)</f>
        <v>0.29646025766675</v>
      </c>
      <c r="V40" s="25" t="n">
        <f aca="false">S40*U40</f>
        <v>609208.278088055</v>
      </c>
    </row>
    <row r="41" customFormat="false" ht="15" hidden="false" customHeight="true" outlineLevel="0" collapsed="false">
      <c r="A41" s="19" t="n">
        <v>33</v>
      </c>
      <c r="B41" s="19" t="n">
        <f aca="false">สมมติฐาน!$B$42+A41-1</f>
        <v>2601</v>
      </c>
      <c r="C41" s="19" t="n">
        <f aca="false">สมมติฐาน!$D$7+A41-1</f>
        <v>56</v>
      </c>
      <c r="D41" s="20" t="str">
        <f aca="false">IF(C41&lt;สมมติฐาน!$D$8,"รับราชการ","รับบำนาญ")</f>
        <v>รับราชการ</v>
      </c>
      <c r="E41" s="21" t="n">
        <f aca="false">(1+สมมติฐาน!$B$43)^(A41-1)</f>
        <v>1.88454059210113</v>
      </c>
      <c r="F41" s="14" t="n">
        <f aca="false">IF(D41="รับราชการ",สมมติฐาน!$D$13*(1+สมมติฐาน!$D$15)^(A41-1)*E41,0)</f>
        <v>125276.078605112</v>
      </c>
      <c r="G41" s="14" t="n">
        <f aca="false">F41*12</f>
        <v>1503312.94326134</v>
      </c>
      <c r="H41" s="14" t="n">
        <f aca="false">IF(D41="รับราชการ",IF(A41&gt;=สมมติฐาน!$D$19,สมมติฐาน!$D$18,IF(A41&gt;=สมมติฐาน!$D$17,สมมติฐาน!$D$16,0))*12*E41,0)</f>
        <v>452289.742104271</v>
      </c>
      <c r="I41" s="14" t="n">
        <f aca="false">G41*สมมติฐาน!$D$21</f>
        <v>75165.6471630672</v>
      </c>
      <c r="J41" s="14" t="n">
        <f aca="false">IF(AND(D41="รับราชการ",A41&lt;=สมมติฐาน!$D$23),สมมติฐาน!$D$22*12*E41,0)</f>
        <v>0</v>
      </c>
      <c r="K41" s="14" t="n">
        <f aca="false">IF(AND(D41="รับราชการ",A41&gt;=สมมติฐาน!$D$27,A41&lt;สมมติฐาน!$D$27+สมมติฐาน!$D$28),สมมติฐาน!$D$25*สมมติฐาน!$D$26*E41,0)</f>
        <v>0</v>
      </c>
      <c r="L41" s="14" t="n">
        <f aca="false">G41*สมมติฐาน!$D$20</f>
        <v>60132.5177304538</v>
      </c>
      <c r="M41" s="19" t="n">
        <f aca="false">IF(D41="รับราชการ",สมมติฐาน!$D$30+IF(AND(A41&gt;=สมมติฐาน!$D$32,A41&lt;=สมมติฐาน!$D$33),สมมติฐาน!$D$31,0),0)</f>
        <v>2</v>
      </c>
      <c r="N41" s="19" t="n">
        <f aca="false">IF(AND(A41&gt;=สมมติฐาน!$D$35,A41&lt;=สมมติฐาน!$D$36),สมมติฐาน!$D$34,0)+IF(D41="รับราชการ",0,สมมติฐาน!$D$37)</f>
        <v>0</v>
      </c>
      <c r="O41" s="21" t="n">
        <f aca="false">(1+สมมติฐาน!$B$43)^(A41-1)*(1+สมมติฐาน!$B$44)^(A41-1)</f>
        <v>3.55149324327688</v>
      </c>
      <c r="P41" s="14" t="n">
        <f aca="false">(M41*สมมติฐาน!$D$38+N41*สมมติฐาน!$D$39)*O41</f>
        <v>63926.8783789838</v>
      </c>
      <c r="Q41" s="14" t="n">
        <f aca="false">IF(D41="รับราชการ",0,$AB$6*12*(1+สมมติฐาน!$B$46)^(A41-36-1))</f>
        <v>0</v>
      </c>
      <c r="R41" s="14" t="n">
        <f aca="false">IF(C41=สมมติฐาน!$D$8,$AB$7,0)+IF(C41=65,$AB$9,0)+IF(A41=62,$AB$10+$AB$11,0)</f>
        <v>0</v>
      </c>
      <c r="S41" s="14" t="n">
        <f aca="false">G41+H41+I41+J41+K41+L41+P41+Q41+R41</f>
        <v>2154827.72863812</v>
      </c>
      <c r="T41" s="14" t="n">
        <f aca="false">S41/E41</f>
        <v>1143423.35615899</v>
      </c>
      <c r="U41" s="21" t="n">
        <f aca="false">1/(1+สมมติฐาน!$B$45)^(A41-1)</f>
        <v>0.285057940064183</v>
      </c>
      <c r="V41" s="14" t="n">
        <f aca="false">S41*U41</f>
        <v>614250.753518765</v>
      </c>
    </row>
    <row r="42" customFormat="false" ht="15" hidden="false" customHeight="true" outlineLevel="0" collapsed="false">
      <c r="A42" s="22" t="n">
        <v>34</v>
      </c>
      <c r="B42" s="22" t="n">
        <f aca="false">สมมติฐาน!$B$42+A42-1</f>
        <v>2602</v>
      </c>
      <c r="C42" s="22" t="n">
        <f aca="false">สมมติฐาน!$D$7+A42-1</f>
        <v>57</v>
      </c>
      <c r="D42" s="23" t="str">
        <f aca="false">IF(C42&lt;สมมติฐาน!$D$8,"รับราชการ","รับบำนาญ")</f>
        <v>รับราชการ</v>
      </c>
      <c r="E42" s="24" t="n">
        <f aca="false">(1+สมมติฐาน!$B$43)^(A42-1)</f>
        <v>1.92223140394315</v>
      </c>
      <c r="F42" s="25" t="n">
        <f aca="false">IF(D42="รับราชการ",สมมติฐาน!$D$13*(1+สมมติฐาน!$D$15)^(A42-1)*E42,0)</f>
        <v>132431.514044185</v>
      </c>
      <c r="G42" s="25" t="n">
        <f aca="false">F42*12</f>
        <v>1589178.16853022</v>
      </c>
      <c r="H42" s="25" t="n">
        <f aca="false">IF(D42="รับราชการ",IF(A42&gt;=สมมติฐาน!$D$19,สมมติฐาน!$D$18,IF(A42&gt;=สมมติฐาน!$D$17,สมมติฐาน!$D$16,0))*12*E42,0)</f>
        <v>461335.536946357</v>
      </c>
      <c r="I42" s="25" t="n">
        <f aca="false">G42*สมมติฐาน!$D$21</f>
        <v>79458.9084265109</v>
      </c>
      <c r="J42" s="25" t="n">
        <f aca="false">IF(AND(D42="รับราชการ",A42&lt;=สมมติฐาน!$D$23),สมมติฐาน!$D$22*12*E42,0)</f>
        <v>0</v>
      </c>
      <c r="K42" s="25" t="n">
        <f aca="false">IF(AND(D42="รับราชการ",A42&gt;=สมมติฐาน!$D$27,A42&lt;สมมติฐาน!$D$27+สมมติฐาน!$D$28),สมมติฐาน!$D$25*สมมติฐาน!$D$26*E42,0)</f>
        <v>0</v>
      </c>
      <c r="L42" s="25" t="n">
        <f aca="false">G42*สมมติฐาน!$D$20</f>
        <v>63567.1267412087</v>
      </c>
      <c r="M42" s="22" t="n">
        <f aca="false">IF(D42="รับราชการ",สมมติฐาน!$D$30+IF(AND(A42&gt;=สมมติฐาน!$D$32,A42&lt;=สมมติฐาน!$D$33),สมมติฐาน!$D$31,0),0)</f>
        <v>2</v>
      </c>
      <c r="N42" s="22" t="n">
        <f aca="false">IF(AND(A42&gt;=สมมติฐาน!$D$35,A42&lt;=สมมติฐาน!$D$36),สมมติฐาน!$D$34,0)+IF(D42="รับราชการ",0,สมมติฐาน!$D$37)</f>
        <v>0</v>
      </c>
      <c r="O42" s="24" t="n">
        <f aca="false">(1+สมมติฐาน!$B$43)^(A42-1)*(1+สมมติฐาน!$B$44)^(A42-1)</f>
        <v>3.69497357030527</v>
      </c>
      <c r="P42" s="25" t="n">
        <f aca="false">(M42*สมมติฐาน!$D$38+N42*สมมติฐาน!$D$39)*O42</f>
        <v>66509.5242654948</v>
      </c>
      <c r="Q42" s="25" t="n">
        <f aca="false">IF(D42="รับราชการ",0,$AB$6*12*(1+สมมติฐาน!$B$46)^(A42-36-1))</f>
        <v>0</v>
      </c>
      <c r="R42" s="25" t="n">
        <f aca="false">IF(C42=สมมติฐาน!$D$8,$AB$7,0)+IF(C42=65,$AB$9,0)+IF(A42=62,$AB$10+$AB$11,0)</f>
        <v>0</v>
      </c>
      <c r="S42" s="25" t="n">
        <f aca="false">G42+H42+I42+J42+K42+L42+P42+Q42+R42</f>
        <v>2260049.26490979</v>
      </c>
      <c r="T42" s="25" t="n">
        <f aca="false">S42/E42</f>
        <v>1175742.55642357</v>
      </c>
      <c r="U42" s="24" t="n">
        <f aca="false">1/(1+สมมติฐาน!$B$45)^(A42-1)</f>
        <v>0.274094173138638</v>
      </c>
      <c r="V42" s="25" t="n">
        <f aca="false">S42*U42</f>
        <v>619466.334518034</v>
      </c>
    </row>
    <row r="43" customFormat="false" ht="15" hidden="false" customHeight="true" outlineLevel="0" collapsed="false">
      <c r="A43" s="19" t="n">
        <v>35</v>
      </c>
      <c r="B43" s="19" t="n">
        <f aca="false">สมมติฐาน!$B$42+A43-1</f>
        <v>2603</v>
      </c>
      <c r="C43" s="19" t="n">
        <f aca="false">สมมติฐาน!$D$7+A43-1</f>
        <v>58</v>
      </c>
      <c r="D43" s="20" t="str">
        <f aca="false">IF(C43&lt;สมมติฐาน!$D$8,"รับราชการ","รับบำนาญ")</f>
        <v>รับราชการ</v>
      </c>
      <c r="E43" s="21" t="n">
        <f aca="false">(1+สมมติฐาน!$B$43)^(A43-1)</f>
        <v>1.96067603202202</v>
      </c>
      <c r="F43" s="14" t="n">
        <f aca="false">IF(D43="รับราชการ",สมมติฐาน!$D$13*(1+สมมติฐาน!$D$15)^(A43-1)*E43,0)</f>
        <v>139995.64886859</v>
      </c>
      <c r="G43" s="14" t="n">
        <f aca="false">F43*12</f>
        <v>1679947.78642308</v>
      </c>
      <c r="H43" s="14" t="n">
        <f aca="false">IF(D43="รับราชการ",IF(A43&gt;=สมมติฐาน!$D$19,สมมติฐาน!$D$18,IF(A43&gt;=สมมติฐาน!$D$17,สมมติฐาน!$D$16,0))*12*E43,0)</f>
        <v>470562.247685284</v>
      </c>
      <c r="I43" s="14" t="n">
        <f aca="false">G43*สมมติฐาน!$D$21</f>
        <v>83997.3893211539</v>
      </c>
      <c r="J43" s="14" t="n">
        <f aca="false">IF(AND(D43="รับราชการ",A43&lt;=สมมติฐาน!$D$23),สมมติฐาน!$D$22*12*E43,0)</f>
        <v>0</v>
      </c>
      <c r="K43" s="14" t="n">
        <f aca="false">IF(AND(D43="รับราชการ",A43&gt;=สมมติฐาน!$D$27,A43&lt;สมมติฐาน!$D$27+สมมติฐาน!$D$28),สมมติฐาน!$D$25*สมมติฐาน!$D$26*E43,0)</f>
        <v>0</v>
      </c>
      <c r="L43" s="14" t="n">
        <f aca="false">G43*สมมติฐาน!$D$20</f>
        <v>67197.9114569231</v>
      </c>
      <c r="M43" s="19" t="n">
        <f aca="false">IF(D43="รับราชการ",สมมติฐาน!$D$30+IF(AND(A43&gt;=สมมติฐาน!$D$32,A43&lt;=สมมติฐาน!$D$33),สมมติฐาน!$D$31,0),0)</f>
        <v>2</v>
      </c>
      <c r="N43" s="19" t="n">
        <f aca="false">IF(AND(A43&gt;=สมมติฐาน!$D$35,A43&lt;=สมมติฐาน!$D$36),สมมติฐาน!$D$34,0)+IF(D43="รับราชการ",0,สมมติฐาน!$D$37)</f>
        <v>0</v>
      </c>
      <c r="O43" s="21" t="n">
        <f aca="false">(1+สมมติฐาน!$B$43)^(A43-1)*(1+สมมติฐาน!$B$44)^(A43-1)</f>
        <v>3.8442505025456</v>
      </c>
      <c r="P43" s="14" t="n">
        <f aca="false">(M43*สมมติฐาน!$D$38+N43*สมมติฐาน!$D$39)*O43</f>
        <v>69196.5090458208</v>
      </c>
      <c r="Q43" s="14" t="n">
        <f aca="false">IF(D43="รับราชการ",0,$AB$6*12*(1+สมมติฐาน!$B$46)^(A43-36-1))</f>
        <v>0</v>
      </c>
      <c r="R43" s="14" t="n">
        <f aca="false">IF(C43=สมมติฐาน!$D$8,$AB$7,0)+IF(C43=65,$AB$9,0)+IF(A43=62,$AB$10+$AB$11,0)</f>
        <v>0</v>
      </c>
      <c r="S43" s="14" t="n">
        <f aca="false">G43+H43+I43+J43+K43+L43+P43+Q43+R43</f>
        <v>2370901.84393226</v>
      </c>
      <c r="T43" s="14" t="n">
        <f aca="false">S43/E43</f>
        <v>1209226.71834122</v>
      </c>
      <c r="U43" s="21" t="n">
        <f aca="false">1/(1+สมมติฐาน!$B$45)^(A43-1)</f>
        <v>0.263552089556382</v>
      </c>
      <c r="V43" s="14" t="n">
        <f aca="false">S43*U43</f>
        <v>624856.135101426</v>
      </c>
    </row>
    <row r="44" customFormat="false" ht="15" hidden="false" customHeight="true" outlineLevel="0" collapsed="false">
      <c r="A44" s="22" t="n">
        <v>36</v>
      </c>
      <c r="B44" s="22" t="n">
        <f aca="false">สมมติฐาน!$B$42+A44-1</f>
        <v>2604</v>
      </c>
      <c r="C44" s="22" t="n">
        <f aca="false">สมมติฐาน!$D$7+A44-1</f>
        <v>59</v>
      </c>
      <c r="D44" s="23" t="str">
        <f aca="false">IF(C44&lt;สมมติฐาน!$D$8,"รับราชการ","รับบำนาญ")</f>
        <v>รับราชการ</v>
      </c>
      <c r="E44" s="24" t="n">
        <f aca="false">(1+สมมติฐาน!$B$43)^(A44-1)</f>
        <v>1.99988955266246</v>
      </c>
      <c r="F44" s="25" t="n">
        <f aca="false">IF(D44="รับราชการ",สมมติฐาน!$D$13*(1+สมมติฐาน!$D$15)^(A44-1)*E44,0)</f>
        <v>147991.826897022</v>
      </c>
      <c r="G44" s="25" t="n">
        <f aca="false">F44*12</f>
        <v>1775901.92276426</v>
      </c>
      <c r="H44" s="25" t="n">
        <f aca="false">IF(D44="รับราชการ",IF(A44&gt;=สมมติฐาน!$D$19,สมมติฐาน!$D$18,IF(A44&gt;=สมมติฐาน!$D$17,สมมติฐาน!$D$16,0))*12*E44,0)</f>
        <v>479973.49263899</v>
      </c>
      <c r="I44" s="25" t="n">
        <f aca="false">G44*สมมติฐาน!$D$21</f>
        <v>88795.0961382129</v>
      </c>
      <c r="J44" s="25" t="n">
        <f aca="false">IF(AND(D44="รับราชการ",A44&lt;=สมมติฐาน!$D$23),สมมติฐาน!$D$22*12*E44,0)</f>
        <v>0</v>
      </c>
      <c r="K44" s="25" t="n">
        <f aca="false">IF(AND(D44="รับราชการ",A44&gt;=สมมติฐาน!$D$27,A44&lt;สมมติฐาน!$D$27+สมมติฐาน!$D$28),สมมติฐาน!$D$25*สมมติฐาน!$D$26*E44,0)</f>
        <v>0</v>
      </c>
      <c r="L44" s="25" t="n">
        <f aca="false">G44*สมมติฐาน!$D$20</f>
        <v>71036.0769105703</v>
      </c>
      <c r="M44" s="22" t="n">
        <f aca="false">IF(D44="รับราชการ",สมมติฐาน!$D$30+IF(AND(A44&gt;=สมมติฐาน!$D$32,A44&lt;=สมมติฐาน!$D$33),สมมติฐาน!$D$31,0),0)</f>
        <v>2</v>
      </c>
      <c r="N44" s="22" t="n">
        <f aca="false">IF(AND(A44&gt;=สมมติฐาน!$D$35,A44&lt;=สมมติฐาน!$D$36),สมมติฐาน!$D$34,0)+IF(D44="รับราชการ",0,สมมติฐาน!$D$37)</f>
        <v>0</v>
      </c>
      <c r="O44" s="24" t="n">
        <f aca="false">(1+สมมติฐาน!$B$43)^(A44-1)*(1+สมมติฐาน!$B$44)^(A44-1)</f>
        <v>3.99955822284844</v>
      </c>
      <c r="P44" s="25" t="n">
        <f aca="false">(M44*สมมติฐาน!$D$38+N44*สมมติฐาน!$D$39)*O44</f>
        <v>71992.0480112719</v>
      </c>
      <c r="Q44" s="25" t="n">
        <f aca="false">IF(D44="รับราชการ",0,$AB$6*12*(1+สมมติฐาน!$B$46)^(A44-36-1))</f>
        <v>0</v>
      </c>
      <c r="R44" s="25" t="n">
        <f aca="false">IF(C44=สมมติฐาน!$D$8,$AB$7,0)+IF(C44=65,$AB$9,0)+IF(A44=62,$AB$10+$AB$11,0)</f>
        <v>0</v>
      </c>
      <c r="S44" s="25" t="n">
        <f aca="false">G44+H44+I44+J44+K44+L44+P44+Q44+R44</f>
        <v>2487698.6364633</v>
      </c>
      <c r="T44" s="25" t="n">
        <f aca="false">S44/E44</f>
        <v>1243918.01194792</v>
      </c>
      <c r="U44" s="24" t="n">
        <f aca="false">1/(1+สมมติฐาน!$B$45)^(A44-1)</f>
        <v>0.253415470727291</v>
      </c>
      <c r="V44" s="25" t="n">
        <f aca="false">S44*U44</f>
        <v>630421.320986987</v>
      </c>
    </row>
    <row r="45" customFormat="false" ht="15" hidden="false" customHeight="true" outlineLevel="0" collapsed="false">
      <c r="A45" s="19" t="n">
        <v>37</v>
      </c>
      <c r="B45" s="19" t="n">
        <f aca="false">สมมติฐาน!$B$42+A45-1</f>
        <v>2605</v>
      </c>
      <c r="C45" s="19" t="n">
        <f aca="false">สมมติฐาน!$D$7+A45-1</f>
        <v>60</v>
      </c>
      <c r="D45" s="20" t="str">
        <f aca="false">IF(C45&lt;สมมติฐาน!$D$8,"รับราชการ","รับบำนาญ")</f>
        <v>รับบำนาญ</v>
      </c>
      <c r="E45" s="21" t="n">
        <f aca="false">(1+สมมติฐาน!$B$43)^(A45-1)</f>
        <v>2.03988734371571</v>
      </c>
      <c r="F45" s="14" t="n">
        <f aca="false">IF(D45="รับราชการ",สมมติฐาน!$D$13*(1+สมมติฐาน!$D$15)^(A45-1)*E45,0)</f>
        <v>0</v>
      </c>
      <c r="G45" s="14" t="n">
        <f aca="false">F45*12</f>
        <v>0</v>
      </c>
      <c r="H45" s="14" t="n">
        <f aca="false">IF(D45="รับราชการ",IF(A45&gt;=สมมติฐาน!$D$19,สมมติฐาน!$D$18,IF(A45&gt;=สมมติฐาน!$D$17,สมมติฐาน!$D$16,0))*12*E45,0)</f>
        <v>0</v>
      </c>
      <c r="I45" s="14" t="n">
        <f aca="false">G45*สมมติฐาน!$D$21</f>
        <v>0</v>
      </c>
      <c r="J45" s="14" t="n">
        <f aca="false">IF(AND(D45="รับราชการ",A45&lt;=สมมติฐาน!$D$23),สมมติฐาน!$D$22*12*E45,0)</f>
        <v>0</v>
      </c>
      <c r="K45" s="14" t="n">
        <f aca="false">IF(AND(D45="รับราชการ",A45&gt;=สมมติฐาน!$D$27,A45&lt;สมมติฐาน!$D$27+สมมติฐาน!$D$28),สมมติฐาน!$D$25*สมมติฐาน!$D$26*E45,0)</f>
        <v>0</v>
      </c>
      <c r="L45" s="14" t="n">
        <f aca="false">G45*สมมติฐาน!$D$20</f>
        <v>0</v>
      </c>
      <c r="M45" s="19" t="n">
        <f aca="false">IF(D45="รับราชการ",สมมติฐาน!$D$30+IF(AND(A45&gt;=สมมติฐาน!$D$32,A45&lt;=สมมติฐาน!$D$33),สมมติฐาน!$D$31,0),0)</f>
        <v>0</v>
      </c>
      <c r="N45" s="19" t="n">
        <f aca="false">IF(AND(A45&gt;=สมมติฐาน!$D$35,A45&lt;=สมมติฐาน!$D$36),สมมติฐาน!$D$34,0)+IF(D45="รับราชการ",0,สมมติฐาน!$D$37)</f>
        <v>2</v>
      </c>
      <c r="O45" s="21" t="n">
        <f aca="false">(1+สมมติฐาน!$B$43)^(A45-1)*(1+สมมติฐาน!$B$44)^(A45-1)</f>
        <v>4.16114037505152</v>
      </c>
      <c r="P45" s="14" t="n">
        <f aca="false">(M45*สมมติฐาน!$D$38+N45*สมมติฐาน!$D$39)*O45</f>
        <v>233023.861002885</v>
      </c>
      <c r="Q45" s="14" t="n">
        <f aca="false">IF(D45="รับราชการ",0,$AB$6*12*(1+สมมติฐาน!$B$46)^(A45-36-1))</f>
        <v>1115859.9117833</v>
      </c>
      <c r="R45" s="14" t="n">
        <f aca="false">IF(C45=สมมติฐาน!$D$8,$AB$7,0)+IF(C45=65,$AB$9,0)+IF(A45=62,$AB$10+$AB$11,0)</f>
        <v>200000</v>
      </c>
      <c r="S45" s="14" t="n">
        <f aca="false">G45+H45+I45+J45+K45+L45+P45+Q45+R45</f>
        <v>1548883.77278619</v>
      </c>
      <c r="T45" s="14" t="n">
        <f aca="false">S45/E45</f>
        <v>759298.682624726</v>
      </c>
      <c r="U45" s="21" t="n">
        <f aca="false">1/(1+สมมติฐาน!$B$45)^(A45-1)</f>
        <v>0.243668721853164</v>
      </c>
      <c r="V45" s="14" t="n">
        <f aca="false">S45*U45</f>
        <v>377414.529213917</v>
      </c>
    </row>
    <row r="46" customFormat="false" ht="15" hidden="false" customHeight="true" outlineLevel="0" collapsed="false">
      <c r="A46" s="22" t="n">
        <v>38</v>
      </c>
      <c r="B46" s="22" t="n">
        <f aca="false">สมมติฐาน!$B$42+A46-1</f>
        <v>2606</v>
      </c>
      <c r="C46" s="22" t="n">
        <f aca="false">สมมติฐาน!$D$7+A46-1</f>
        <v>61</v>
      </c>
      <c r="D46" s="23" t="str">
        <f aca="false">IF(C46&lt;สมมติฐาน!$D$8,"รับราชการ","รับบำนาญ")</f>
        <v>รับบำนาญ</v>
      </c>
      <c r="E46" s="24" t="n">
        <f aca="false">(1+สมมติฐาน!$B$43)^(A46-1)</f>
        <v>2.08068509059002</v>
      </c>
      <c r="F46" s="25" t="n">
        <f aca="false">IF(D46="รับราชการ",สมมติฐาน!$D$13*(1+สมมติฐาน!$D$15)^(A46-1)*E46,0)</f>
        <v>0</v>
      </c>
      <c r="G46" s="25" t="n">
        <f aca="false">F46*12</f>
        <v>0</v>
      </c>
      <c r="H46" s="25" t="n">
        <f aca="false">IF(D46="รับราชการ",IF(A46&gt;=สมมติฐาน!$D$19,สมมติฐาน!$D$18,IF(A46&gt;=สมมติฐาน!$D$17,สมมติฐาน!$D$16,0))*12*E46,0)</f>
        <v>0</v>
      </c>
      <c r="I46" s="25" t="n">
        <f aca="false">G46*สมมติฐาน!$D$21</f>
        <v>0</v>
      </c>
      <c r="J46" s="25" t="n">
        <f aca="false">IF(AND(D46="รับราชการ",A46&lt;=สมมติฐาน!$D$23),สมมติฐาน!$D$22*12*E46,0)</f>
        <v>0</v>
      </c>
      <c r="K46" s="25" t="n">
        <f aca="false">IF(AND(D46="รับราชการ",A46&gt;=สมมติฐาน!$D$27,A46&lt;สมมติฐาน!$D$27+สมมติฐาน!$D$28),สมมติฐาน!$D$25*สมมติฐาน!$D$26*E46,0)</f>
        <v>0</v>
      </c>
      <c r="L46" s="25" t="n">
        <f aca="false">G46*สมมติฐาน!$D$20</f>
        <v>0</v>
      </c>
      <c r="M46" s="22" t="n">
        <f aca="false">IF(D46="รับราชการ",สมมติฐาน!$D$30+IF(AND(A46&gt;=สมมติฐาน!$D$32,A46&lt;=สมมติฐาน!$D$33),สมมติฐาน!$D$31,0),0)</f>
        <v>0</v>
      </c>
      <c r="N46" s="22" t="n">
        <f aca="false">IF(AND(A46&gt;=สมมติฐาน!$D$35,A46&lt;=สมมติฐาน!$D$36),สมมติฐาน!$D$34,0)+IF(D46="รับราชการ",0,สมมติฐาน!$D$37)</f>
        <v>2</v>
      </c>
      <c r="O46" s="24" t="n">
        <f aca="false">(1+สมมติฐาน!$B$43)^(A46-1)*(1+สมมติฐาน!$B$44)^(A46-1)</f>
        <v>4.3292504462036</v>
      </c>
      <c r="P46" s="25" t="n">
        <f aca="false">(M46*สมมติฐาน!$D$38+N46*สมมติฐาน!$D$39)*O46</f>
        <v>242438.024987402</v>
      </c>
      <c r="Q46" s="25" t="n">
        <f aca="false">IF(D46="รับราชการ",0,$AB$6*12*(1+สมมติฐาน!$B$46)^(A46-36-1))</f>
        <v>1115859.9117833</v>
      </c>
      <c r="R46" s="25" t="n">
        <f aca="false">IF(C46=สมมติฐาน!$D$8,$AB$7,0)+IF(C46=65,$AB$9,0)+IF(A46=62,$AB$10+$AB$11,0)</f>
        <v>0</v>
      </c>
      <c r="S46" s="25" t="n">
        <f aca="false">G46+H46+I46+J46+K46+L46+P46+Q46+R46</f>
        <v>1358297.9367707</v>
      </c>
      <c r="T46" s="25" t="n">
        <f aca="false">S46/E46</f>
        <v>652812.836941861</v>
      </c>
      <c r="U46" s="24" t="n">
        <f aca="false">1/(1+สมมติฐาน!$B$45)^(A46-1)</f>
        <v>0.234296847935735</v>
      </c>
      <c r="V46" s="25" t="n">
        <f aca="false">S46*U46</f>
        <v>318244.925142988</v>
      </c>
    </row>
    <row r="47" customFormat="false" ht="15" hidden="false" customHeight="true" outlineLevel="0" collapsed="false">
      <c r="A47" s="19" t="n">
        <v>39</v>
      </c>
      <c r="B47" s="19" t="n">
        <f aca="false">สมมติฐาน!$B$42+A47-1</f>
        <v>2607</v>
      </c>
      <c r="C47" s="19" t="n">
        <f aca="false">สมมติฐาน!$D$7+A47-1</f>
        <v>62</v>
      </c>
      <c r="D47" s="20" t="str">
        <f aca="false">IF(C47&lt;สมมติฐาน!$D$8,"รับราชการ","รับบำนาญ")</f>
        <v>รับบำนาญ</v>
      </c>
      <c r="E47" s="21" t="n">
        <f aca="false">(1+สมมติฐาน!$B$43)^(A47-1)</f>
        <v>2.12229879240182</v>
      </c>
      <c r="F47" s="14" t="n">
        <f aca="false">IF(D47="รับราชการ",สมมติฐาน!$D$13*(1+สมมติฐาน!$D$15)^(A47-1)*E47,0)</f>
        <v>0</v>
      </c>
      <c r="G47" s="14" t="n">
        <f aca="false">F47*12</f>
        <v>0</v>
      </c>
      <c r="H47" s="14" t="n">
        <f aca="false">IF(D47="รับราชการ",IF(A47&gt;=สมมติฐาน!$D$19,สมมติฐาน!$D$18,IF(A47&gt;=สมมติฐาน!$D$17,สมมติฐาน!$D$16,0))*12*E47,0)</f>
        <v>0</v>
      </c>
      <c r="I47" s="14" t="n">
        <f aca="false">G47*สมมติฐาน!$D$21</f>
        <v>0</v>
      </c>
      <c r="J47" s="14" t="n">
        <f aca="false">IF(AND(D47="รับราชการ",A47&lt;=สมมติฐาน!$D$23),สมมติฐาน!$D$22*12*E47,0)</f>
        <v>0</v>
      </c>
      <c r="K47" s="14" t="n">
        <f aca="false">IF(AND(D47="รับราชการ",A47&gt;=สมมติฐาน!$D$27,A47&lt;สมมติฐาน!$D$27+สมมติฐาน!$D$28),สมมติฐาน!$D$25*สมมติฐาน!$D$26*E47,0)</f>
        <v>0</v>
      </c>
      <c r="L47" s="14" t="n">
        <f aca="false">G47*สมมติฐาน!$D$20</f>
        <v>0</v>
      </c>
      <c r="M47" s="19" t="n">
        <f aca="false">IF(D47="รับราชการ",สมมติฐาน!$D$30+IF(AND(A47&gt;=สมมติฐาน!$D$32,A47&lt;=สมมติฐาน!$D$33),สมมติฐาน!$D$31,0),0)</f>
        <v>0</v>
      </c>
      <c r="N47" s="19" t="n">
        <f aca="false">IF(AND(A47&gt;=สมมติฐาน!$D$35,A47&lt;=สมมติฐาน!$D$36),สมมติฐาน!$D$34,0)+IF(D47="รับราชการ",0,สมมติฐาน!$D$37)</f>
        <v>2</v>
      </c>
      <c r="O47" s="21" t="n">
        <f aca="false">(1+สมมติฐาน!$B$43)^(A47-1)*(1+สมมติฐาน!$B$44)^(A47-1)</f>
        <v>4.50415216423022</v>
      </c>
      <c r="P47" s="14" t="n">
        <f aca="false">(M47*สมมติฐาน!$D$38+N47*สมมติฐาน!$D$39)*O47</f>
        <v>252232.521196893</v>
      </c>
      <c r="Q47" s="14" t="n">
        <f aca="false">IF(D47="รับราชการ",0,$AB$6*12*(1+สมมติฐาน!$B$46)^(A47-36-1))</f>
        <v>1115859.9117833</v>
      </c>
      <c r="R47" s="14" t="n">
        <f aca="false">IF(C47=สมมติฐาน!$D$8,$AB$7,0)+IF(C47=65,$AB$9,0)+IF(A47=62,$AB$10+$AB$11,0)</f>
        <v>0</v>
      </c>
      <c r="S47" s="14" t="n">
        <f aca="false">G47+H47+I47+J47+K47+L47+P47+Q47+R47</f>
        <v>1368092.43298019</v>
      </c>
      <c r="T47" s="14" t="n">
        <f aca="false">S47/E47</f>
        <v>644627.626363541</v>
      </c>
      <c r="U47" s="21" t="n">
        <f aca="false">1/(1+สมมติฐาน!$B$45)^(A47-1)</f>
        <v>0.225285430707437</v>
      </c>
      <c r="V47" s="14" t="n">
        <f aca="false">S47*U47</f>
        <v>308211.293011529</v>
      </c>
    </row>
    <row r="48" customFormat="false" ht="15" hidden="false" customHeight="true" outlineLevel="0" collapsed="false">
      <c r="A48" s="22" t="n">
        <v>40</v>
      </c>
      <c r="B48" s="22" t="n">
        <f aca="false">สมมติฐาน!$B$42+A48-1</f>
        <v>2608</v>
      </c>
      <c r="C48" s="22" t="n">
        <f aca="false">สมมติฐาน!$D$7+A48-1</f>
        <v>63</v>
      </c>
      <c r="D48" s="23" t="str">
        <f aca="false">IF(C48&lt;สมมติฐาน!$D$8,"รับราชการ","รับบำนาญ")</f>
        <v>รับบำนาญ</v>
      </c>
      <c r="E48" s="24" t="n">
        <f aca="false">(1+สมมติฐาน!$B$43)^(A48-1)</f>
        <v>2.16474476824986</v>
      </c>
      <c r="F48" s="25" t="n">
        <f aca="false">IF(D48="รับราชการ",สมมติฐาน!$D$13*(1+สมมติฐาน!$D$15)^(A48-1)*E48,0)</f>
        <v>0</v>
      </c>
      <c r="G48" s="25" t="n">
        <f aca="false">F48*12</f>
        <v>0</v>
      </c>
      <c r="H48" s="25" t="n">
        <f aca="false">IF(D48="รับราชการ",IF(A48&gt;=สมมติฐาน!$D$19,สมมติฐาน!$D$18,IF(A48&gt;=สมมติฐาน!$D$17,สมมติฐาน!$D$16,0))*12*E48,0)</f>
        <v>0</v>
      </c>
      <c r="I48" s="25" t="n">
        <f aca="false">G48*สมมติฐาน!$D$21</f>
        <v>0</v>
      </c>
      <c r="J48" s="25" t="n">
        <f aca="false">IF(AND(D48="รับราชการ",A48&lt;=สมมติฐาน!$D$23),สมมติฐาน!$D$22*12*E48,0)</f>
        <v>0</v>
      </c>
      <c r="K48" s="25" t="n">
        <f aca="false">IF(AND(D48="รับราชการ",A48&gt;=สมมติฐาน!$D$27,A48&lt;สมมติฐาน!$D$27+สมมติฐาน!$D$28),สมมติฐาน!$D$25*สมมติฐาน!$D$26*E48,0)</f>
        <v>0</v>
      </c>
      <c r="L48" s="25" t="n">
        <f aca="false">G48*สมมติฐาน!$D$20</f>
        <v>0</v>
      </c>
      <c r="M48" s="22" t="n">
        <f aca="false">IF(D48="รับราชการ",สมมติฐาน!$D$30+IF(AND(A48&gt;=สมมติฐาน!$D$32,A48&lt;=สมมติฐาน!$D$33),สมมติฐาน!$D$31,0),0)</f>
        <v>0</v>
      </c>
      <c r="N48" s="22" t="n">
        <f aca="false">IF(AND(A48&gt;=สมมติฐาน!$D$35,A48&lt;=สมมติฐาน!$D$36),สมมติฐาน!$D$34,0)+IF(D48="รับราชการ",0,สมมติฐาน!$D$37)</f>
        <v>2</v>
      </c>
      <c r="O48" s="24" t="n">
        <f aca="false">(1+สมมติฐาน!$B$43)^(A48-1)*(1+สมมติฐาน!$B$44)^(A48-1)</f>
        <v>4.68611991166512</v>
      </c>
      <c r="P48" s="25" t="n">
        <f aca="false">(M48*สมมติฐาน!$D$38+N48*สมมติฐาน!$D$39)*O48</f>
        <v>262422.715053247</v>
      </c>
      <c r="Q48" s="25" t="n">
        <f aca="false">IF(D48="รับราชการ",0,$AB$6*12*(1+สมมติฐาน!$B$46)^(A48-36-1))</f>
        <v>1115859.9117833</v>
      </c>
      <c r="R48" s="25" t="n">
        <f aca="false">IF(C48=สมมติฐาน!$D$8,$AB$7,0)+IF(C48=65,$AB$9,0)+IF(A48=62,$AB$10+$AB$11,0)</f>
        <v>0</v>
      </c>
      <c r="S48" s="25" t="n">
        <f aca="false">G48+H48+I48+J48+K48+L48+P48+Q48+R48</f>
        <v>1378282.62683655</v>
      </c>
      <c r="T48" s="25" t="n">
        <f aca="false">S48/E48</f>
        <v>636695.210932815</v>
      </c>
      <c r="U48" s="24" t="n">
        <f aca="false">1/(1+สมมติฐาน!$B$45)^(A48-1)</f>
        <v>0.216620606449459</v>
      </c>
      <c r="V48" s="25" t="n">
        <f aca="false">S48*U48</f>
        <v>298564.418484086</v>
      </c>
    </row>
    <row r="49" customFormat="false" ht="15" hidden="false" customHeight="true" outlineLevel="0" collapsed="false">
      <c r="A49" s="19" t="n">
        <v>41</v>
      </c>
      <c r="B49" s="19" t="n">
        <f aca="false">สมมติฐาน!$B$42+A49-1</f>
        <v>2609</v>
      </c>
      <c r="C49" s="19" t="n">
        <f aca="false">สมมติฐาน!$D$7+A49-1</f>
        <v>64</v>
      </c>
      <c r="D49" s="20" t="str">
        <f aca="false">IF(C49&lt;สมมติฐาน!$D$8,"รับราชการ","รับบำนาญ")</f>
        <v>รับบำนาญ</v>
      </c>
      <c r="E49" s="21" t="n">
        <f aca="false">(1+สมมติฐาน!$B$43)^(A49-1)</f>
        <v>2.20803966361485</v>
      </c>
      <c r="F49" s="14" t="n">
        <f aca="false">IF(D49="รับราชการ",สมมติฐาน!$D$13*(1+สมมติฐาน!$D$15)^(A49-1)*E49,0)</f>
        <v>0</v>
      </c>
      <c r="G49" s="14" t="n">
        <f aca="false">F49*12</f>
        <v>0</v>
      </c>
      <c r="H49" s="14" t="n">
        <f aca="false">IF(D49="รับราชการ",IF(A49&gt;=สมมติฐาน!$D$19,สมมติฐาน!$D$18,IF(A49&gt;=สมมติฐาน!$D$17,สมมติฐาน!$D$16,0))*12*E49,0)</f>
        <v>0</v>
      </c>
      <c r="I49" s="14" t="n">
        <f aca="false">G49*สมมติฐาน!$D$21</f>
        <v>0</v>
      </c>
      <c r="J49" s="14" t="n">
        <f aca="false">IF(AND(D49="รับราชการ",A49&lt;=สมมติฐาน!$D$23),สมมติฐาน!$D$22*12*E49,0)</f>
        <v>0</v>
      </c>
      <c r="K49" s="14" t="n">
        <f aca="false">IF(AND(D49="รับราชการ",A49&gt;=สมมติฐาน!$D$27,A49&lt;สมมติฐาน!$D$27+สมมติฐาน!$D$28),สมมติฐาน!$D$25*สมมติฐาน!$D$26*E49,0)</f>
        <v>0</v>
      </c>
      <c r="L49" s="14" t="n">
        <f aca="false">G49*สมมติฐาน!$D$20</f>
        <v>0</v>
      </c>
      <c r="M49" s="19" t="n">
        <f aca="false">IF(D49="รับราชการ",สมมติฐาน!$D$30+IF(AND(A49&gt;=สมมติฐาน!$D$32,A49&lt;=สมมติฐาน!$D$33),สมมติฐาน!$D$31,0),0)</f>
        <v>0</v>
      </c>
      <c r="N49" s="19" t="n">
        <f aca="false">IF(AND(A49&gt;=สมมติฐาน!$D$35,A49&lt;=สมมติฐาน!$D$36),สมมติฐาน!$D$34,0)+IF(D49="รับราชการ",0,สมมติฐาน!$D$37)</f>
        <v>2</v>
      </c>
      <c r="O49" s="21" t="n">
        <f aca="false">(1+สมมติฐาน!$B$43)^(A49-1)*(1+สมมติฐาน!$B$44)^(A49-1)</f>
        <v>4.8754391560964</v>
      </c>
      <c r="P49" s="14" t="n">
        <f aca="false">(M49*สมมติฐาน!$D$38+N49*สมมติฐาน!$D$39)*O49</f>
        <v>273024.592741398</v>
      </c>
      <c r="Q49" s="14" t="n">
        <f aca="false">IF(D49="รับราชการ",0,$AB$6*12*(1+สมมติฐาน!$B$46)^(A49-36-1))</f>
        <v>1115859.9117833</v>
      </c>
      <c r="R49" s="14" t="n">
        <f aca="false">IF(C49=สมมติฐาน!$D$8,$AB$7,0)+IF(C49=65,$AB$9,0)+IF(A49=62,$AB$10+$AB$11,0)</f>
        <v>0</v>
      </c>
      <c r="S49" s="14" t="n">
        <f aca="false">G49+H49+I49+J49+K49+L49+P49+Q49+R49</f>
        <v>1388884.5045247</v>
      </c>
      <c r="T49" s="14" t="n">
        <f aca="false">S49/E49</f>
        <v>629012.479898532</v>
      </c>
      <c r="U49" s="21" t="n">
        <f aca="false">1/(1+สมมติฐาน!$B$45)^(A49-1)</f>
        <v>0.208289044662941</v>
      </c>
      <c r="V49" s="14" t="n">
        <f aca="false">S49*U49</f>
        <v>289289.426594612</v>
      </c>
    </row>
    <row r="50" customFormat="false" ht="15" hidden="false" customHeight="true" outlineLevel="0" collapsed="false">
      <c r="A50" s="22" t="n">
        <v>42</v>
      </c>
      <c r="B50" s="22" t="n">
        <f aca="false">สมมติฐาน!$B$42+A50-1</f>
        <v>2610</v>
      </c>
      <c r="C50" s="22" t="n">
        <f aca="false">สมมติฐาน!$D$7+A50-1</f>
        <v>65</v>
      </c>
      <c r="D50" s="23" t="str">
        <f aca="false">IF(C50&lt;สมมติฐาน!$D$8,"รับราชการ","รับบำนาญ")</f>
        <v>รับบำนาญ</v>
      </c>
      <c r="E50" s="24" t="n">
        <f aca="false">(1+สมมติฐาน!$B$43)^(A50-1)</f>
        <v>2.25220045688715</v>
      </c>
      <c r="F50" s="25" t="n">
        <f aca="false">IF(D50="รับราชการ",สมมติฐาน!$D$13*(1+สมมติฐาน!$D$15)^(A50-1)*E50,0)</f>
        <v>0</v>
      </c>
      <c r="G50" s="25" t="n">
        <f aca="false">F50*12</f>
        <v>0</v>
      </c>
      <c r="H50" s="25" t="n">
        <f aca="false">IF(D50="รับราชการ",IF(A50&gt;=สมมติฐาน!$D$19,สมมติฐาน!$D$18,IF(A50&gt;=สมมติฐาน!$D$17,สมมติฐาน!$D$16,0))*12*E50,0)</f>
        <v>0</v>
      </c>
      <c r="I50" s="25" t="n">
        <f aca="false">G50*สมมติฐาน!$D$21</f>
        <v>0</v>
      </c>
      <c r="J50" s="25" t="n">
        <f aca="false">IF(AND(D50="รับราชการ",A50&lt;=สมมติฐาน!$D$23),สมมติฐาน!$D$22*12*E50,0)</f>
        <v>0</v>
      </c>
      <c r="K50" s="25" t="n">
        <f aca="false">IF(AND(D50="รับราชการ",A50&gt;=สมมติฐาน!$D$27,A50&lt;สมมติฐาน!$D$27+สมมติฐาน!$D$28),สมมติฐาน!$D$25*สมมติฐาน!$D$26*E50,0)</f>
        <v>0</v>
      </c>
      <c r="L50" s="25" t="n">
        <f aca="false">G50*สมมติฐาน!$D$20</f>
        <v>0</v>
      </c>
      <c r="M50" s="22" t="n">
        <f aca="false">IF(D50="รับราชการ",สมมติฐาน!$D$30+IF(AND(A50&gt;=สมมติฐาน!$D$32,A50&lt;=สมมติฐาน!$D$33),สมมติฐาน!$D$31,0),0)</f>
        <v>0</v>
      </c>
      <c r="N50" s="22" t="n">
        <f aca="false">IF(AND(A50&gt;=สมมติฐาน!$D$35,A50&lt;=สมมติฐาน!$D$36),สมมติฐาน!$D$34,0)+IF(D50="รับราชการ",0,สมมติฐาน!$D$37)</f>
        <v>2</v>
      </c>
      <c r="O50" s="24" t="n">
        <f aca="false">(1+สมมติฐาน!$B$43)^(A50-1)*(1+สมมติฐาน!$B$44)^(A50-1)</f>
        <v>5.07240689800269</v>
      </c>
      <c r="P50" s="25" t="n">
        <f aca="false">(M50*สมมติฐาน!$D$38+N50*สมมติฐาน!$D$39)*O50</f>
        <v>284054.786288151</v>
      </c>
      <c r="Q50" s="25" t="n">
        <f aca="false">IF(D50="รับราชการ",0,$AB$6*12*(1+สมมติฐาน!$B$46)^(A50-36-1))</f>
        <v>1115859.9117833</v>
      </c>
      <c r="R50" s="25" t="n">
        <f aca="false">IF(C50=สมมติฐาน!$D$8,$AB$7,0)+IF(C50=65,$AB$9,0)+IF(A50=62,$AB$10+$AB$11,0)</f>
        <v>300000</v>
      </c>
      <c r="S50" s="25" t="n">
        <f aca="false">G50+H50+I50+J50+K50+L50+P50+Q50+R50</f>
        <v>1699914.69807145</v>
      </c>
      <c r="T50" s="25" t="n">
        <f aca="false">S50/E50</f>
        <v>754779.48371477</v>
      </c>
      <c r="U50" s="24" t="n">
        <f aca="false">1/(1+สมมติฐาน!$B$45)^(A50-1)</f>
        <v>0.20027792756052</v>
      </c>
      <c r="V50" s="25" t="n">
        <f aca="false">S50*U50</f>
        <v>340455.392759418</v>
      </c>
    </row>
    <row r="51" customFormat="false" ht="15" hidden="false" customHeight="true" outlineLevel="0" collapsed="false">
      <c r="A51" s="19" t="n">
        <v>43</v>
      </c>
      <c r="B51" s="19" t="n">
        <f aca="false">สมมติฐาน!$B$42+A51-1</f>
        <v>2611</v>
      </c>
      <c r="C51" s="19" t="n">
        <f aca="false">สมมติฐาน!$D$7+A51-1</f>
        <v>66</v>
      </c>
      <c r="D51" s="20" t="str">
        <f aca="false">IF(C51&lt;สมมติฐาน!$D$8,"รับราชการ","รับบำนาญ")</f>
        <v>รับบำนาญ</v>
      </c>
      <c r="E51" s="21" t="n">
        <f aca="false">(1+สมมติฐาน!$B$43)^(A51-1)</f>
        <v>2.29724446602489</v>
      </c>
      <c r="F51" s="14" t="n">
        <f aca="false">IF(D51="รับราชการ",สมมติฐาน!$D$13*(1+สมมติฐาน!$D$15)^(A51-1)*E51,0)</f>
        <v>0</v>
      </c>
      <c r="G51" s="14" t="n">
        <f aca="false">F51*12</f>
        <v>0</v>
      </c>
      <c r="H51" s="14" t="n">
        <f aca="false">IF(D51="รับราชการ",IF(A51&gt;=สมมติฐาน!$D$19,สมมติฐาน!$D$18,IF(A51&gt;=สมมติฐาน!$D$17,สมมติฐาน!$D$16,0))*12*E51,0)</f>
        <v>0</v>
      </c>
      <c r="I51" s="14" t="n">
        <f aca="false">G51*สมมติฐาน!$D$21</f>
        <v>0</v>
      </c>
      <c r="J51" s="14" t="n">
        <f aca="false">IF(AND(D51="รับราชการ",A51&lt;=สมมติฐาน!$D$23),สมมติฐาน!$D$22*12*E51,0)</f>
        <v>0</v>
      </c>
      <c r="K51" s="14" t="n">
        <f aca="false">IF(AND(D51="รับราชการ",A51&gt;=สมมติฐาน!$D$27,A51&lt;สมมติฐาน!$D$27+สมมติฐาน!$D$28),สมมติฐาน!$D$25*สมมติฐาน!$D$26*E51,0)</f>
        <v>0</v>
      </c>
      <c r="L51" s="14" t="n">
        <f aca="false">G51*สมมติฐาน!$D$20</f>
        <v>0</v>
      </c>
      <c r="M51" s="19" t="n">
        <f aca="false">IF(D51="รับราชการ",สมมติฐาน!$D$30+IF(AND(A51&gt;=สมมติฐาน!$D$32,A51&lt;=สมมติฐาน!$D$33),สมมติฐาน!$D$31,0),0)</f>
        <v>0</v>
      </c>
      <c r="N51" s="19" t="n">
        <f aca="false">IF(AND(A51&gt;=สมมติฐาน!$D$35,A51&lt;=สมมติฐาน!$D$36),สมมติฐาน!$D$34,0)+IF(D51="รับราชการ",0,สมมติฐาน!$D$37)</f>
        <v>2</v>
      </c>
      <c r="O51" s="21" t="n">
        <f aca="false">(1+สมมติฐาน!$B$43)^(A51-1)*(1+สมมติฐาน!$B$44)^(A51-1)</f>
        <v>5.277332136682</v>
      </c>
      <c r="P51" s="14" t="n">
        <f aca="false">(M51*สมมติฐาน!$D$38+N51*สมมติฐาน!$D$39)*O51</f>
        <v>295530.599654192</v>
      </c>
      <c r="Q51" s="14" t="n">
        <f aca="false">IF(D51="รับราชการ",0,$AB$6*12*(1+สมมติฐาน!$B$46)^(A51-36-1))</f>
        <v>1115859.9117833</v>
      </c>
      <c r="R51" s="14" t="n">
        <f aca="false">IF(C51=สมมติฐาน!$D$8,$AB$7,0)+IF(C51=65,$AB$9,0)+IF(A51=62,$AB$10+$AB$11,0)</f>
        <v>0</v>
      </c>
      <c r="S51" s="14" t="n">
        <f aca="false">G51+H51+I51+J51+K51+L51+P51+Q51+R51</f>
        <v>1411390.51143749</v>
      </c>
      <c r="T51" s="14" t="n">
        <f aca="false">S51/E51</f>
        <v>614384.116410447</v>
      </c>
      <c r="U51" s="21" t="n">
        <f aca="false">1/(1+สมมติฐาน!$B$45)^(A51-1)</f>
        <v>0.192574930346654</v>
      </c>
      <c r="V51" s="14" t="n">
        <f aca="false">S51*U51</f>
        <v>271798.429432004</v>
      </c>
    </row>
    <row r="52" customFormat="false" ht="15" hidden="false" customHeight="true" outlineLevel="0" collapsed="false">
      <c r="A52" s="22" t="n">
        <v>44</v>
      </c>
      <c r="B52" s="22" t="n">
        <f aca="false">สมมติฐาน!$B$42+A52-1</f>
        <v>2612</v>
      </c>
      <c r="C52" s="22" t="n">
        <f aca="false">สมมติฐาน!$D$7+A52-1</f>
        <v>67</v>
      </c>
      <c r="D52" s="23" t="str">
        <f aca="false">IF(C52&lt;สมมติฐาน!$D$8,"รับราชการ","รับบำนาญ")</f>
        <v>รับบำนาญ</v>
      </c>
      <c r="E52" s="24" t="n">
        <f aca="false">(1+สมมติฐาน!$B$43)^(A52-1)</f>
        <v>2.34318935534539</v>
      </c>
      <c r="F52" s="25" t="n">
        <f aca="false">IF(D52="รับราชการ",สมมติฐาน!$D$13*(1+สมมติฐาน!$D$15)^(A52-1)*E52,0)</f>
        <v>0</v>
      </c>
      <c r="G52" s="25" t="n">
        <f aca="false">F52*12</f>
        <v>0</v>
      </c>
      <c r="H52" s="25" t="n">
        <f aca="false">IF(D52="รับราชการ",IF(A52&gt;=สมมติฐาน!$D$19,สมมติฐาน!$D$18,IF(A52&gt;=สมมติฐาน!$D$17,สมมติฐาน!$D$16,0))*12*E52,0)</f>
        <v>0</v>
      </c>
      <c r="I52" s="25" t="n">
        <f aca="false">G52*สมมติฐาน!$D$21</f>
        <v>0</v>
      </c>
      <c r="J52" s="25" t="n">
        <f aca="false">IF(AND(D52="รับราชการ",A52&lt;=สมมติฐาน!$D$23),สมมติฐาน!$D$22*12*E52,0)</f>
        <v>0</v>
      </c>
      <c r="K52" s="25" t="n">
        <f aca="false">IF(AND(D52="รับราชการ",A52&gt;=สมมติฐาน!$D$27,A52&lt;สมมติฐาน!$D$27+สมมติฐาน!$D$28),สมมติฐาน!$D$25*สมมติฐาน!$D$26*E52,0)</f>
        <v>0</v>
      </c>
      <c r="L52" s="25" t="n">
        <f aca="false">G52*สมมติฐาน!$D$20</f>
        <v>0</v>
      </c>
      <c r="M52" s="22" t="n">
        <f aca="false">IF(D52="รับราชการ",สมมติฐาน!$D$30+IF(AND(A52&gt;=สมมติฐาน!$D$32,A52&lt;=สมมติฐาน!$D$33),สมมติฐาน!$D$31,0),0)</f>
        <v>0</v>
      </c>
      <c r="N52" s="22" t="n">
        <f aca="false">IF(AND(A52&gt;=สมมติฐาน!$D$35,A52&lt;=สมมติฐาน!$D$36),สมมติฐาน!$D$34,0)+IF(D52="รับราชการ",0,สมมติฐาน!$D$37)</f>
        <v>2</v>
      </c>
      <c r="O52" s="24" t="n">
        <f aca="false">(1+สมมติฐาน!$B$43)^(A52-1)*(1+สมมติฐาน!$B$44)^(A52-1)</f>
        <v>5.49053635500395</v>
      </c>
      <c r="P52" s="25" t="n">
        <f aca="false">(M52*สมมติฐาน!$D$38+N52*สมมติฐาน!$D$39)*O52</f>
        <v>307470.035880221</v>
      </c>
      <c r="Q52" s="25" t="n">
        <f aca="false">IF(D52="รับราชการ",0,$AB$6*12*(1+สมมติฐาน!$B$46)^(A52-36-1))</f>
        <v>1115859.9117833</v>
      </c>
      <c r="R52" s="25" t="n">
        <f aca="false">IF(C52=สมมติฐาน!$D$8,$AB$7,0)+IF(C52=65,$AB$9,0)+IF(A52=62,$AB$10+$AB$11,0)</f>
        <v>0</v>
      </c>
      <c r="S52" s="25" t="n">
        <f aca="false">G52+H52+I52+J52+K52+L52+P52+Q52+R52</f>
        <v>1423329.94766352</v>
      </c>
      <c r="T52" s="25" t="n">
        <f aca="false">S52/E52</f>
        <v>607432.747343512</v>
      </c>
      <c r="U52" s="24" t="n">
        <f aca="false">1/(1+สมมติฐาน!$B$45)^(A52-1)</f>
        <v>0.185168202256398</v>
      </c>
      <c r="V52" s="25" t="n">
        <f aca="false">S52*U52</f>
        <v>263555.447626548</v>
      </c>
    </row>
    <row r="53" customFormat="false" ht="15" hidden="false" customHeight="true" outlineLevel="0" collapsed="false">
      <c r="A53" s="19" t="n">
        <v>45</v>
      </c>
      <c r="B53" s="19" t="n">
        <f aca="false">สมมติฐาน!$B$42+A53-1</f>
        <v>2613</v>
      </c>
      <c r="C53" s="19" t="n">
        <f aca="false">สมมติฐาน!$D$7+A53-1</f>
        <v>68</v>
      </c>
      <c r="D53" s="20" t="str">
        <f aca="false">IF(C53&lt;สมมติฐาน!$D$8,"รับราชการ","รับบำนาญ")</f>
        <v>รับบำนาญ</v>
      </c>
      <c r="E53" s="21" t="n">
        <f aca="false">(1+สมมติฐาน!$B$43)^(A53-1)</f>
        <v>2.3900531424523</v>
      </c>
      <c r="F53" s="14" t="n">
        <f aca="false">IF(D53="รับราชการ",สมมติฐาน!$D$13*(1+สมมติฐาน!$D$15)^(A53-1)*E53,0)</f>
        <v>0</v>
      </c>
      <c r="G53" s="14" t="n">
        <f aca="false">F53*12</f>
        <v>0</v>
      </c>
      <c r="H53" s="14" t="n">
        <f aca="false">IF(D53="รับราชการ",IF(A53&gt;=สมมติฐาน!$D$19,สมมติฐาน!$D$18,IF(A53&gt;=สมมติฐาน!$D$17,สมมติฐาน!$D$16,0))*12*E53,0)</f>
        <v>0</v>
      </c>
      <c r="I53" s="14" t="n">
        <f aca="false">G53*สมมติฐาน!$D$21</f>
        <v>0</v>
      </c>
      <c r="J53" s="14" t="n">
        <f aca="false">IF(AND(D53="รับราชการ",A53&lt;=สมมติฐาน!$D$23),สมมติฐาน!$D$22*12*E53,0)</f>
        <v>0</v>
      </c>
      <c r="K53" s="14" t="n">
        <f aca="false">IF(AND(D53="รับราชการ",A53&gt;=สมมติฐาน!$D$27,A53&lt;สมมติฐาน!$D$27+สมมติฐาน!$D$28),สมมติฐาน!$D$25*สมมติฐาน!$D$26*E53,0)</f>
        <v>0</v>
      </c>
      <c r="L53" s="14" t="n">
        <f aca="false">G53*สมมติฐาน!$D$20</f>
        <v>0</v>
      </c>
      <c r="M53" s="19" t="n">
        <f aca="false">IF(D53="รับราชการ",สมมติฐาน!$D$30+IF(AND(A53&gt;=สมมติฐาน!$D$32,A53&lt;=สมมติฐาน!$D$33),สมมติฐาน!$D$31,0),0)</f>
        <v>0</v>
      </c>
      <c r="N53" s="19" t="n">
        <f aca="false">IF(AND(A53&gt;=สมมติฐาน!$D$35,A53&lt;=สมมติฐาน!$D$36),สมมติฐาน!$D$34,0)+IF(D53="รับราชการ",0,สมมติฐาน!$D$37)</f>
        <v>2</v>
      </c>
      <c r="O53" s="21" t="n">
        <f aca="false">(1+สมมติฐาน!$B$43)^(A53-1)*(1+สมมติฐาน!$B$44)^(A53-1)</f>
        <v>5.71235402374611</v>
      </c>
      <c r="P53" s="14" t="n">
        <f aca="false">(M53*สมมติฐาน!$D$38+N53*สมมติฐาน!$D$39)*O53</f>
        <v>319891.825329782</v>
      </c>
      <c r="Q53" s="14" t="n">
        <f aca="false">IF(D53="รับราชการ",0,$AB$6*12*(1+สมมติฐาน!$B$46)^(A53-36-1))</f>
        <v>1115859.9117833</v>
      </c>
      <c r="R53" s="14" t="n">
        <f aca="false">IF(C53=สมมติฐาน!$D$8,$AB$7,0)+IF(C53=65,$AB$9,0)+IF(A53=62,$AB$10+$AB$11,0)</f>
        <v>0</v>
      </c>
      <c r="S53" s="14" t="n">
        <f aca="false">G53+H53+I53+J53+K53+L53+P53+Q53+R53</f>
        <v>1435751.73711308</v>
      </c>
      <c r="T53" s="14" t="n">
        <f aca="false">S53/E53</f>
        <v>600719.587197103</v>
      </c>
      <c r="U53" s="21" t="n">
        <f aca="false">1/(1+สมมติฐาน!$B$45)^(A53-1)</f>
        <v>0.17804634832346</v>
      </c>
      <c r="V53" s="14" t="n">
        <f aca="false">S53*U53</f>
        <v>255630.353892049</v>
      </c>
    </row>
    <row r="54" customFormat="false" ht="15" hidden="false" customHeight="true" outlineLevel="0" collapsed="false">
      <c r="A54" s="22" t="n">
        <v>46</v>
      </c>
      <c r="B54" s="22" t="n">
        <f aca="false">สมมติฐาน!$B$42+A54-1</f>
        <v>2614</v>
      </c>
      <c r="C54" s="22" t="n">
        <f aca="false">สมมติฐาน!$D$7+A54-1</f>
        <v>69</v>
      </c>
      <c r="D54" s="23" t="str">
        <f aca="false">IF(C54&lt;สมมติฐาน!$D$8,"รับราชการ","รับบำนาญ")</f>
        <v>รับบำนาญ</v>
      </c>
      <c r="E54" s="24" t="n">
        <f aca="false">(1+สมมติฐาน!$B$43)^(A54-1)</f>
        <v>2.43785420530135</v>
      </c>
      <c r="F54" s="25" t="n">
        <f aca="false">IF(D54="รับราชการ",สมมติฐาน!$D$13*(1+สมมติฐาน!$D$15)^(A54-1)*E54,0)</f>
        <v>0</v>
      </c>
      <c r="G54" s="25" t="n">
        <f aca="false">F54*12</f>
        <v>0</v>
      </c>
      <c r="H54" s="25" t="n">
        <f aca="false">IF(D54="รับราชการ",IF(A54&gt;=สมมติฐาน!$D$19,สมมติฐาน!$D$18,IF(A54&gt;=สมมติฐาน!$D$17,สมมติฐาน!$D$16,0))*12*E54,0)</f>
        <v>0</v>
      </c>
      <c r="I54" s="25" t="n">
        <f aca="false">G54*สมมติฐาน!$D$21</f>
        <v>0</v>
      </c>
      <c r="J54" s="25" t="n">
        <f aca="false">IF(AND(D54="รับราชการ",A54&lt;=สมมติฐาน!$D$23),สมมติฐาน!$D$22*12*E54,0)</f>
        <v>0</v>
      </c>
      <c r="K54" s="25" t="n">
        <f aca="false">IF(AND(D54="รับราชการ",A54&gt;=สมมติฐาน!$D$27,A54&lt;สมมติฐาน!$D$27+สมมติฐาน!$D$28),สมมติฐาน!$D$25*สมมติฐาน!$D$26*E54,0)</f>
        <v>0</v>
      </c>
      <c r="L54" s="25" t="n">
        <f aca="false">G54*สมมติฐาน!$D$20</f>
        <v>0</v>
      </c>
      <c r="M54" s="22" t="n">
        <f aca="false">IF(D54="รับราชการ",สมมติฐาน!$D$30+IF(AND(A54&gt;=สมมติฐาน!$D$32,A54&lt;=สมมติฐาน!$D$33),สมมติฐาน!$D$31,0),0)</f>
        <v>0</v>
      </c>
      <c r="N54" s="22" t="n">
        <f aca="false">IF(AND(A54&gt;=สมมติฐาน!$D$35,A54&lt;=สมมติฐาน!$D$36),สมมติฐาน!$D$34,0)+IF(D54="รับราชการ",0,สมมติฐาน!$D$37)</f>
        <v>2</v>
      </c>
      <c r="O54" s="24" t="n">
        <f aca="false">(1+สมมติฐาน!$B$43)^(A54-1)*(1+สมมติฐาน!$B$44)^(A54-1)</f>
        <v>5.94313312630546</v>
      </c>
      <c r="P54" s="25" t="n">
        <f aca="false">(M54*สมมติฐาน!$D$38+N54*สมมติฐาน!$D$39)*O54</f>
        <v>332815.455073106</v>
      </c>
      <c r="Q54" s="25" t="n">
        <f aca="false">IF(D54="รับราชการ",0,$AB$6*12*(1+สมมติฐาน!$B$46)^(A54-36-1))</f>
        <v>1115859.9117833</v>
      </c>
      <c r="R54" s="25" t="n">
        <f aca="false">IF(C54=สมมติฐาน!$D$8,$AB$7,0)+IF(C54=65,$AB$9,0)+IF(A54=62,$AB$10+$AB$11,0)</f>
        <v>0</v>
      </c>
      <c r="S54" s="25" t="n">
        <f aca="false">G54+H54+I54+J54+K54+L54+P54+Q54+R54</f>
        <v>1448675.36685641</v>
      </c>
      <c r="T54" s="25" t="n">
        <f aca="false">S54/E54</f>
        <v>594242.003359399</v>
      </c>
      <c r="U54" s="24" t="n">
        <f aca="false">1/(1+สมมติฐาน!$B$45)^(A54-1)</f>
        <v>0.171198411849481</v>
      </c>
      <c r="V54" s="25" t="n">
        <f aca="false">S54*U54</f>
        <v>248010.922091281</v>
      </c>
    </row>
    <row r="55" customFormat="false" ht="15" hidden="false" customHeight="true" outlineLevel="0" collapsed="false">
      <c r="A55" s="19" t="n">
        <v>47</v>
      </c>
      <c r="B55" s="19" t="n">
        <f aca="false">สมมติฐาน!$B$42+A55-1</f>
        <v>2615</v>
      </c>
      <c r="C55" s="19" t="n">
        <f aca="false">สมมติฐาน!$D$7+A55-1</f>
        <v>70</v>
      </c>
      <c r="D55" s="20" t="str">
        <f aca="false">IF(C55&lt;สมมติฐาน!$D$8,"รับราชการ","รับบำนาญ")</f>
        <v>รับบำนาญ</v>
      </c>
      <c r="E55" s="21" t="n">
        <f aca="false">(1+สมมติฐาน!$B$43)^(A55-1)</f>
        <v>2.48661128940737</v>
      </c>
      <c r="F55" s="14" t="n">
        <f aca="false">IF(D55="รับราชการ",สมมติฐาน!$D$13*(1+สมมติฐาน!$D$15)^(A55-1)*E55,0)</f>
        <v>0</v>
      </c>
      <c r="G55" s="14" t="n">
        <f aca="false">F55*12</f>
        <v>0</v>
      </c>
      <c r="H55" s="14" t="n">
        <f aca="false">IF(D55="รับราชการ",IF(A55&gt;=สมมติฐาน!$D$19,สมมติฐาน!$D$18,IF(A55&gt;=สมมติฐาน!$D$17,สมมติฐาน!$D$16,0))*12*E55,0)</f>
        <v>0</v>
      </c>
      <c r="I55" s="14" t="n">
        <f aca="false">G55*สมมติฐาน!$D$21</f>
        <v>0</v>
      </c>
      <c r="J55" s="14" t="n">
        <f aca="false">IF(AND(D55="รับราชการ",A55&lt;=สมมติฐาน!$D$23),สมมติฐาน!$D$22*12*E55,0)</f>
        <v>0</v>
      </c>
      <c r="K55" s="14" t="n">
        <f aca="false">IF(AND(D55="รับราชการ",A55&gt;=สมมติฐาน!$D$27,A55&lt;สมมติฐาน!$D$27+สมมติฐาน!$D$28),สมมติฐาน!$D$25*สมมติฐาน!$D$26*E55,0)</f>
        <v>0</v>
      </c>
      <c r="L55" s="14" t="n">
        <f aca="false">G55*สมมติฐาน!$D$20</f>
        <v>0</v>
      </c>
      <c r="M55" s="19" t="n">
        <f aca="false">IF(D55="รับราชการ",สมมติฐาน!$D$30+IF(AND(A55&gt;=สมมติฐาน!$D$32,A55&lt;=สมมติฐาน!$D$33),สมมติฐาน!$D$31,0),0)</f>
        <v>0</v>
      </c>
      <c r="N55" s="19" t="n">
        <f aca="false">IF(AND(A55&gt;=สมมติฐาน!$D$35,A55&lt;=สมมติฐาน!$D$36),สมมติฐาน!$D$34,0)+IF(D55="รับราชการ",0,สมมติฐาน!$D$37)</f>
        <v>2</v>
      </c>
      <c r="O55" s="21" t="n">
        <f aca="false">(1+สมมติฐาน!$B$43)^(A55-1)*(1+สมมติฐาน!$B$44)^(A55-1)</f>
        <v>6.1832357046082</v>
      </c>
      <c r="P55" s="14" t="n">
        <f aca="false">(M55*สมมติฐาน!$D$38+N55*สมมติฐาน!$D$39)*O55</f>
        <v>346261.199458059</v>
      </c>
      <c r="Q55" s="14" t="n">
        <f aca="false">IF(D55="รับราชการ",0,$AB$6*12*(1+สมมติฐาน!$B$46)^(A55-36-1))</f>
        <v>1115859.9117833</v>
      </c>
      <c r="R55" s="14" t="n">
        <f aca="false">IF(C55=สมมติฐาน!$D$8,$AB$7,0)+IF(C55=65,$AB$9,0)+IF(A55=62,$AB$10+$AB$11,0)</f>
        <v>0</v>
      </c>
      <c r="S55" s="14" t="n">
        <f aca="false">G55+H55+I55+J55+K55+L55+P55+Q55+R55</f>
        <v>1462121.11124136</v>
      </c>
      <c r="T55" s="14" t="n">
        <f aca="false">S55/E55</f>
        <v>587997.455601444</v>
      </c>
      <c r="U55" s="21" t="n">
        <f aca="false">1/(1+สมมติฐาน!$B$45)^(A55-1)</f>
        <v>0.164613857547577</v>
      </c>
      <c r="V55" s="14" t="n">
        <f aca="false">S55*U55</f>
        <v>240685.396323191</v>
      </c>
    </row>
    <row r="56" customFormat="false" ht="15" hidden="false" customHeight="true" outlineLevel="0" collapsed="false">
      <c r="A56" s="22" t="n">
        <v>48</v>
      </c>
      <c r="B56" s="22" t="n">
        <f aca="false">สมมติฐาน!$B$42+A56-1</f>
        <v>2616</v>
      </c>
      <c r="C56" s="22" t="n">
        <f aca="false">สมมติฐาน!$D$7+A56-1</f>
        <v>71</v>
      </c>
      <c r="D56" s="23" t="str">
        <f aca="false">IF(C56&lt;สมมติฐาน!$D$8,"รับราชการ","รับบำนาญ")</f>
        <v>รับบำนาญ</v>
      </c>
      <c r="E56" s="24" t="n">
        <f aca="false">(1+สมมติฐาน!$B$43)^(A56-1)</f>
        <v>2.53634351519552</v>
      </c>
      <c r="F56" s="25" t="n">
        <f aca="false">IF(D56="รับราชการ",สมมติฐาน!$D$13*(1+สมมติฐาน!$D$15)^(A56-1)*E56,0)</f>
        <v>0</v>
      </c>
      <c r="G56" s="25" t="n">
        <f aca="false">F56*12</f>
        <v>0</v>
      </c>
      <c r="H56" s="25" t="n">
        <f aca="false">IF(D56="รับราชการ",IF(A56&gt;=สมมติฐาน!$D$19,สมมติฐาน!$D$18,IF(A56&gt;=สมมติฐาน!$D$17,สมมติฐาน!$D$16,0))*12*E56,0)</f>
        <v>0</v>
      </c>
      <c r="I56" s="25" t="n">
        <f aca="false">G56*สมมติฐาน!$D$21</f>
        <v>0</v>
      </c>
      <c r="J56" s="25" t="n">
        <f aca="false">IF(AND(D56="รับราชการ",A56&lt;=สมมติฐาน!$D$23),สมมติฐาน!$D$22*12*E56,0)</f>
        <v>0</v>
      </c>
      <c r="K56" s="25" t="n">
        <f aca="false">IF(AND(D56="รับราชการ",A56&gt;=สมมติฐาน!$D$27,A56&lt;สมมติฐาน!$D$27+สมมติฐาน!$D$28),สมมติฐาน!$D$25*สมมติฐาน!$D$26*E56,0)</f>
        <v>0</v>
      </c>
      <c r="L56" s="25" t="n">
        <f aca="false">G56*สมมติฐาน!$D$20</f>
        <v>0</v>
      </c>
      <c r="M56" s="22" t="n">
        <f aca="false">IF(D56="รับราชการ",สมมติฐาน!$D$30+IF(AND(A56&gt;=สมมติฐาน!$D$32,A56&lt;=สมมติฐาน!$D$33),สมมติฐาน!$D$31,0),0)</f>
        <v>0</v>
      </c>
      <c r="N56" s="22" t="n">
        <f aca="false">IF(AND(A56&gt;=สมมติฐาน!$D$35,A56&lt;=สมมติฐาน!$D$36),สมมติฐาน!$D$34,0)+IF(D56="รับราชการ",0,สมมติฐาน!$D$37)</f>
        <v>2</v>
      </c>
      <c r="O56" s="24" t="n">
        <f aca="false">(1+สมมติฐาน!$B$43)^(A56-1)*(1+สมมติฐาน!$B$44)^(A56-1)</f>
        <v>6.43303842707437</v>
      </c>
      <c r="P56" s="25" t="n">
        <f aca="false">(M56*สมมติฐาน!$D$38+N56*สมมติฐาน!$D$39)*O56</f>
        <v>360250.151916165</v>
      </c>
      <c r="Q56" s="25" t="n">
        <f aca="false">IF(D56="รับราชการ",0,$AB$6*12*(1+สมมติฐาน!$B$46)^(A56-36-1))</f>
        <v>1115859.9117833</v>
      </c>
      <c r="R56" s="25" t="n">
        <f aca="false">IF(C56=สมมติฐาน!$D$8,$AB$7,0)+IF(C56=65,$AB$9,0)+IF(A56=62,$AB$10+$AB$11,0)</f>
        <v>0</v>
      </c>
      <c r="S56" s="25" t="n">
        <f aca="false">G56+H56+I56+J56+K56+L56+P56+Q56+R56</f>
        <v>1476110.06369947</v>
      </c>
      <c r="T56" s="25" t="n">
        <f aca="false">S56/E56</f>
        <v>581983.49508098</v>
      </c>
      <c r="U56" s="24" t="n">
        <f aca="false">1/(1+สมมติฐาน!$B$45)^(A56-1)</f>
        <v>0.158282555334209</v>
      </c>
      <c r="V56" s="25" t="n">
        <f aca="false">S56*U56</f>
        <v>233642.472836894</v>
      </c>
    </row>
    <row r="57" customFormat="false" ht="15" hidden="false" customHeight="true" outlineLevel="0" collapsed="false">
      <c r="A57" s="19" t="n">
        <v>49</v>
      </c>
      <c r="B57" s="19" t="n">
        <f aca="false">สมมติฐาน!$B$42+A57-1</f>
        <v>2617</v>
      </c>
      <c r="C57" s="19" t="n">
        <f aca="false">สมมติฐาน!$D$7+A57-1</f>
        <v>72</v>
      </c>
      <c r="D57" s="20" t="str">
        <f aca="false">IF(C57&lt;สมมติฐาน!$D$8,"รับราชการ","รับบำนาญ")</f>
        <v>รับบำนาญ</v>
      </c>
      <c r="E57" s="21" t="n">
        <f aca="false">(1+สมมติฐาน!$B$43)^(A57-1)</f>
        <v>2.58707038549943</v>
      </c>
      <c r="F57" s="14" t="n">
        <f aca="false">IF(D57="รับราชการ",สมมติฐาน!$D$13*(1+สมมติฐาน!$D$15)^(A57-1)*E57,0)</f>
        <v>0</v>
      </c>
      <c r="G57" s="14" t="n">
        <f aca="false">F57*12</f>
        <v>0</v>
      </c>
      <c r="H57" s="14" t="n">
        <f aca="false">IF(D57="รับราชการ",IF(A57&gt;=สมมติฐาน!$D$19,สมมติฐาน!$D$18,IF(A57&gt;=สมมติฐาน!$D$17,สมมติฐาน!$D$16,0))*12*E57,0)</f>
        <v>0</v>
      </c>
      <c r="I57" s="14" t="n">
        <f aca="false">G57*สมมติฐาน!$D$21</f>
        <v>0</v>
      </c>
      <c r="J57" s="14" t="n">
        <f aca="false">IF(AND(D57="รับราชการ",A57&lt;=สมมติฐาน!$D$23),สมมติฐาน!$D$22*12*E57,0)</f>
        <v>0</v>
      </c>
      <c r="K57" s="14" t="n">
        <f aca="false">IF(AND(D57="รับราชการ",A57&gt;=สมมติฐาน!$D$27,A57&lt;สมมติฐาน!$D$27+สมมติฐาน!$D$28),สมมติฐาน!$D$25*สมมติฐาน!$D$26*E57,0)</f>
        <v>0</v>
      </c>
      <c r="L57" s="14" t="n">
        <f aca="false">G57*สมมติฐาน!$D$20</f>
        <v>0</v>
      </c>
      <c r="M57" s="19" t="n">
        <f aca="false">IF(D57="รับราชการ",สมมติฐาน!$D$30+IF(AND(A57&gt;=สมมติฐาน!$D$32,A57&lt;=สมมติฐาน!$D$33),สมมติฐาน!$D$31,0),0)</f>
        <v>0</v>
      </c>
      <c r="N57" s="19" t="n">
        <f aca="false">IF(AND(A57&gt;=สมมติฐาน!$D$35,A57&lt;=สมมติฐาน!$D$36),สมมติฐาน!$D$34,0)+IF(D57="รับราชการ",0,สมมติฐาน!$D$37)</f>
        <v>2</v>
      </c>
      <c r="O57" s="21" t="n">
        <f aca="false">(1+สมมติฐาน!$B$43)^(A57-1)*(1+สมมติฐาน!$B$44)^(A57-1)</f>
        <v>6.69293317952817</v>
      </c>
      <c r="P57" s="14" t="n">
        <f aca="false">(M57*สมมติฐาน!$D$38+N57*สมมติฐาน!$D$39)*O57</f>
        <v>374804.258053578</v>
      </c>
      <c r="Q57" s="14" t="n">
        <f aca="false">IF(D57="รับราชการ",0,$AB$6*12*(1+สมมติฐาน!$B$46)^(A57-36-1))</f>
        <v>1115859.9117833</v>
      </c>
      <c r="R57" s="14" t="n">
        <f aca="false">IF(C57=สมมติฐาน!$D$8,$AB$7,0)+IF(C57=65,$AB$9,0)+IF(A57=62,$AB$10+$AB$11,0)</f>
        <v>0</v>
      </c>
      <c r="S57" s="14" t="n">
        <f aca="false">G57+H57+I57+J57+K57+L57+P57+Q57+R57</f>
        <v>1490664.16983688</v>
      </c>
      <c r="T57" s="14" t="n">
        <f aca="false">S57/E57</f>
        <v>576197.763382116</v>
      </c>
      <c r="U57" s="21" t="n">
        <f aca="false">1/(1+สมมติฐาน!$B$45)^(A57-1)</f>
        <v>0.152194764744432</v>
      </c>
      <c r="V57" s="14" t="n">
        <f aca="false">S57*U57</f>
        <v>226871.282641278</v>
      </c>
    </row>
    <row r="58" customFormat="false" ht="15" hidden="false" customHeight="true" outlineLevel="0" collapsed="false">
      <c r="A58" s="22" t="n">
        <v>50</v>
      </c>
      <c r="B58" s="22" t="n">
        <f aca="false">สมมติฐาน!$B$42+A58-1</f>
        <v>2618</v>
      </c>
      <c r="C58" s="22" t="n">
        <f aca="false">สมมติฐาน!$D$7+A58-1</f>
        <v>73</v>
      </c>
      <c r="D58" s="23" t="str">
        <f aca="false">IF(C58&lt;สมมติฐาน!$D$8,"รับราชการ","รับบำนาญ")</f>
        <v>รับบำนาญ</v>
      </c>
      <c r="E58" s="24" t="n">
        <f aca="false">(1+สมมติฐาน!$B$43)^(A58-1)</f>
        <v>2.63881179320942</v>
      </c>
      <c r="F58" s="25" t="n">
        <f aca="false">IF(D58="รับราชการ",สมมติฐาน!$D$13*(1+สมมติฐาน!$D$15)^(A58-1)*E58,0)</f>
        <v>0</v>
      </c>
      <c r="G58" s="25" t="n">
        <f aca="false">F58*12</f>
        <v>0</v>
      </c>
      <c r="H58" s="25" t="n">
        <f aca="false">IF(D58="รับราชการ",IF(A58&gt;=สมมติฐาน!$D$19,สมมติฐาน!$D$18,IF(A58&gt;=สมมติฐาน!$D$17,สมมติฐาน!$D$16,0))*12*E58,0)</f>
        <v>0</v>
      </c>
      <c r="I58" s="25" t="n">
        <f aca="false">G58*สมมติฐาน!$D$21</f>
        <v>0</v>
      </c>
      <c r="J58" s="25" t="n">
        <f aca="false">IF(AND(D58="รับราชการ",A58&lt;=สมมติฐาน!$D$23),สมมติฐาน!$D$22*12*E58,0)</f>
        <v>0</v>
      </c>
      <c r="K58" s="25" t="n">
        <f aca="false">IF(AND(D58="รับราชการ",A58&gt;=สมมติฐาน!$D$27,A58&lt;สมมติฐาน!$D$27+สมมติฐาน!$D$28),สมมติฐาน!$D$25*สมมติฐาน!$D$26*E58,0)</f>
        <v>0</v>
      </c>
      <c r="L58" s="25" t="n">
        <f aca="false">G58*สมมติฐาน!$D$20</f>
        <v>0</v>
      </c>
      <c r="M58" s="22" t="n">
        <f aca="false">IF(D58="รับราชการ",สมมติฐาน!$D$30+IF(AND(A58&gt;=สมมติฐาน!$D$32,A58&lt;=สมมติฐาน!$D$33),สมมติฐาน!$D$31,0),0)</f>
        <v>0</v>
      </c>
      <c r="N58" s="22" t="n">
        <f aca="false">IF(AND(A58&gt;=สมมติฐาน!$D$35,A58&lt;=สมมติฐาน!$D$36),สมมติฐาน!$D$34,0)+IF(D58="รับราชการ",0,สมมติฐาน!$D$37)</f>
        <v>2</v>
      </c>
      <c r="O58" s="24" t="n">
        <f aca="false">(1+สมมติฐาน!$B$43)^(A58-1)*(1+สมมติฐาน!$B$44)^(A58-1)</f>
        <v>6.96332767998111</v>
      </c>
      <c r="P58" s="25" t="n">
        <f aca="false">(M58*สมมติฐาน!$D$38+N58*สมมติฐาน!$D$39)*O58</f>
        <v>389946.350078942</v>
      </c>
      <c r="Q58" s="25" t="n">
        <f aca="false">IF(D58="รับราชการ",0,$AB$6*12*(1+สมมติฐาน!$B$46)^(A58-36-1))</f>
        <v>1115859.9117833</v>
      </c>
      <c r="R58" s="25" t="n">
        <f aca="false">IF(C58=สมมติฐาน!$D$8,$AB$7,0)+IF(C58=65,$AB$9,0)+IF(A58=62,$AB$10+$AB$11,0)</f>
        <v>0</v>
      </c>
      <c r="S58" s="25" t="n">
        <f aca="false">G58+H58+I58+J58+K58+L58+P58+Q58+R58</f>
        <v>1505806.26186224</v>
      </c>
      <c r="T58" s="25" t="n">
        <f aca="false">S58/E58</f>
        <v>570637.99159046</v>
      </c>
      <c r="U58" s="24" t="n">
        <f aca="false">1/(1+สมมติฐาน!$B$45)^(A58-1)</f>
        <v>0.146341119946569</v>
      </c>
      <c r="V58" s="25" t="n">
        <f aca="false">S58*U58</f>
        <v>220361.374783478</v>
      </c>
    </row>
    <row r="59" customFormat="false" ht="15" hidden="false" customHeight="true" outlineLevel="0" collapsed="false">
      <c r="A59" s="19" t="n">
        <v>51</v>
      </c>
      <c r="B59" s="19" t="n">
        <f aca="false">สมมติฐาน!$B$42+A59-1</f>
        <v>2619</v>
      </c>
      <c r="C59" s="19" t="n">
        <f aca="false">สมมติฐาน!$D$7+A59-1</f>
        <v>74</v>
      </c>
      <c r="D59" s="20" t="str">
        <f aca="false">IF(C59&lt;สมมติฐาน!$D$8,"รับราชการ","รับบำนาญ")</f>
        <v>รับบำนาญ</v>
      </c>
      <c r="E59" s="21" t="n">
        <f aca="false">(1+สมมติฐาน!$B$43)^(A59-1)</f>
        <v>2.69158802907361</v>
      </c>
      <c r="F59" s="14" t="n">
        <f aca="false">IF(D59="รับราชการ",สมมติฐาน!$D$13*(1+สมมติฐาน!$D$15)^(A59-1)*E59,0)</f>
        <v>0</v>
      </c>
      <c r="G59" s="14" t="n">
        <f aca="false">F59*12</f>
        <v>0</v>
      </c>
      <c r="H59" s="14" t="n">
        <f aca="false">IF(D59="รับราชการ",IF(A59&gt;=สมมติฐาน!$D$19,สมมติฐาน!$D$18,IF(A59&gt;=สมมติฐาน!$D$17,สมมติฐาน!$D$16,0))*12*E59,0)</f>
        <v>0</v>
      </c>
      <c r="I59" s="14" t="n">
        <f aca="false">G59*สมมติฐาน!$D$21</f>
        <v>0</v>
      </c>
      <c r="J59" s="14" t="n">
        <f aca="false">IF(AND(D59="รับราชการ",A59&lt;=สมมติฐาน!$D$23),สมมติฐาน!$D$22*12*E59,0)</f>
        <v>0</v>
      </c>
      <c r="K59" s="14" t="n">
        <f aca="false">IF(AND(D59="รับราชการ",A59&gt;=สมมติฐาน!$D$27,A59&lt;สมมติฐาน!$D$27+สมมติฐาน!$D$28),สมมติฐาน!$D$25*สมมติฐาน!$D$26*E59,0)</f>
        <v>0</v>
      </c>
      <c r="L59" s="14" t="n">
        <f aca="false">G59*สมมติฐาน!$D$20</f>
        <v>0</v>
      </c>
      <c r="M59" s="19" t="n">
        <f aca="false">IF(D59="รับราชการ",สมมติฐาน!$D$30+IF(AND(A59&gt;=สมมติฐาน!$D$32,A59&lt;=สมมติฐาน!$D$33),สมมติฐาน!$D$31,0),0)</f>
        <v>0</v>
      </c>
      <c r="N59" s="19" t="n">
        <f aca="false">IF(AND(A59&gt;=สมมติฐาน!$D$35,A59&lt;=สมมติฐาน!$D$36),สมมติฐาน!$D$34,0)+IF(D59="รับราชการ",0,สมมติฐาน!$D$37)</f>
        <v>2</v>
      </c>
      <c r="O59" s="21" t="n">
        <f aca="false">(1+สมมติฐาน!$B$43)^(A59-1)*(1+สมมติฐาน!$B$44)^(A59-1)</f>
        <v>7.24464611825235</v>
      </c>
      <c r="P59" s="14" t="n">
        <f aca="false">(M59*สมมติฐาน!$D$38+N59*สมมติฐาน!$D$39)*O59</f>
        <v>405700.182622132</v>
      </c>
      <c r="Q59" s="14" t="n">
        <f aca="false">IF(D59="รับราชการ",0,$AB$6*12*(1+สมมติฐาน!$B$46)^(A59-36-1))</f>
        <v>1115859.9117833</v>
      </c>
      <c r="R59" s="14" t="n">
        <f aca="false">IF(C59=สมมติฐาน!$D$8,$AB$7,0)+IF(C59=65,$AB$9,0)+IF(A59=62,$AB$10+$AB$11,0)</f>
        <v>0</v>
      </c>
      <c r="S59" s="14" t="n">
        <f aca="false">G59+H59+I59+J59+K59+L59+P59+Q59+R59</f>
        <v>1521560.09440543</v>
      </c>
      <c r="T59" s="14" t="n">
        <f aca="false">S59/E59</f>
        <v>565301.99940335</v>
      </c>
      <c r="U59" s="21" t="n">
        <f aca="false">1/(1+สมมติฐาน!$B$45)^(A59-1)</f>
        <v>0.140712615333239</v>
      </c>
      <c r="V59" s="14" t="n">
        <f aca="false">S59*U59</f>
        <v>214102.700270479</v>
      </c>
    </row>
    <row r="60" customFormat="false" ht="15" hidden="false" customHeight="true" outlineLevel="0" collapsed="false">
      <c r="A60" s="22" t="n">
        <v>52</v>
      </c>
      <c r="B60" s="22" t="n">
        <f aca="false">สมมติฐาน!$B$42+A60-1</f>
        <v>2620</v>
      </c>
      <c r="C60" s="22" t="n">
        <f aca="false">สมมติฐาน!$D$7+A60-1</f>
        <v>75</v>
      </c>
      <c r="D60" s="23" t="str">
        <f aca="false">IF(C60&lt;สมมติฐาน!$D$8,"รับราชการ","รับบำนาญ")</f>
        <v>รับบำนาญ</v>
      </c>
      <c r="E60" s="24" t="n">
        <f aca="false">(1+สมมติฐาน!$B$43)^(A60-1)</f>
        <v>2.74541978965508</v>
      </c>
      <c r="F60" s="25" t="n">
        <f aca="false">IF(D60="รับราชการ",สมมติฐาน!$D$13*(1+สมมติฐาน!$D$15)^(A60-1)*E60,0)</f>
        <v>0</v>
      </c>
      <c r="G60" s="25" t="n">
        <f aca="false">F60*12</f>
        <v>0</v>
      </c>
      <c r="H60" s="25" t="n">
        <f aca="false">IF(D60="รับราชการ",IF(A60&gt;=สมมติฐาน!$D$19,สมมติฐาน!$D$18,IF(A60&gt;=สมมติฐาน!$D$17,สมมติฐาน!$D$16,0))*12*E60,0)</f>
        <v>0</v>
      </c>
      <c r="I60" s="25" t="n">
        <f aca="false">G60*สมมติฐาน!$D$21</f>
        <v>0</v>
      </c>
      <c r="J60" s="25" t="n">
        <f aca="false">IF(AND(D60="รับราชการ",A60&lt;=สมมติฐาน!$D$23),สมมติฐาน!$D$22*12*E60,0)</f>
        <v>0</v>
      </c>
      <c r="K60" s="25" t="n">
        <f aca="false">IF(AND(D60="รับราชการ",A60&gt;=สมมติฐาน!$D$27,A60&lt;สมมติฐาน!$D$27+สมมติฐาน!$D$28),สมมติฐาน!$D$25*สมมติฐาน!$D$26*E60,0)</f>
        <v>0</v>
      </c>
      <c r="L60" s="25" t="n">
        <f aca="false">G60*สมมติฐาน!$D$20</f>
        <v>0</v>
      </c>
      <c r="M60" s="22" t="n">
        <f aca="false">IF(D60="รับราชการ",สมมติฐาน!$D$30+IF(AND(A60&gt;=สมมติฐาน!$D$32,A60&lt;=สมมติฐาน!$D$33),สมมติฐาน!$D$31,0),0)</f>
        <v>0</v>
      </c>
      <c r="N60" s="22" t="n">
        <f aca="false">IF(AND(A60&gt;=สมมติฐาน!$D$35,A60&lt;=สมมติฐาน!$D$36),สมมติฐาน!$D$34,0)+IF(D60="รับราชการ",0,สมมติฐาน!$D$37)</f>
        <v>2</v>
      </c>
      <c r="O60" s="24" t="n">
        <f aca="false">(1+สมมติฐาน!$B$43)^(A60-1)*(1+สมมติฐาน!$B$44)^(A60-1)</f>
        <v>7.53732982142974</v>
      </c>
      <c r="P60" s="25" t="n">
        <f aca="false">(M60*สมมติฐาน!$D$38+N60*สมมติฐาน!$D$39)*O60</f>
        <v>422090.470000066</v>
      </c>
      <c r="Q60" s="25" t="n">
        <f aca="false">IF(D60="รับราชการ",0,$AB$6*12*(1+สมมติฐาน!$B$46)^(A60-36-1))</f>
        <v>1115859.9117833</v>
      </c>
      <c r="R60" s="25" t="n">
        <f aca="false">IF(C60=สมมติฐาน!$D$8,$AB$7,0)+IF(C60=65,$AB$9,0)+IF(A60=62,$AB$10+$AB$11,0)</f>
        <v>0</v>
      </c>
      <c r="S60" s="25" t="n">
        <f aca="false">G60+H60+I60+J60+K60+L60+P60+Q60+R60</f>
        <v>1537950.38178337</v>
      </c>
      <c r="T60" s="25" t="n">
        <f aca="false">S60/E60</f>
        <v>560187.69427483</v>
      </c>
      <c r="U60" s="24" t="n">
        <f aca="false">1/(1+สมมติฐาน!$B$45)^(A60-1)</f>
        <v>0.135300591666576</v>
      </c>
      <c r="V60" s="25" t="n">
        <f aca="false">S60*U60</f>
        <v>208085.596609127</v>
      </c>
    </row>
    <row r="61" customFormat="false" ht="15" hidden="false" customHeight="true" outlineLevel="0" collapsed="false">
      <c r="A61" s="19" t="n">
        <v>53</v>
      </c>
      <c r="B61" s="19" t="n">
        <f aca="false">สมมติฐาน!$B$42+A61-1</f>
        <v>2621</v>
      </c>
      <c r="C61" s="19" t="n">
        <f aca="false">สมมติฐาน!$D$7+A61-1</f>
        <v>76</v>
      </c>
      <c r="D61" s="20" t="str">
        <f aca="false">IF(C61&lt;สมมติฐาน!$D$8,"รับราชการ","รับบำนาญ")</f>
        <v>รับบำนาญ</v>
      </c>
      <c r="E61" s="21" t="n">
        <f aca="false">(1+สมมติฐาน!$B$43)^(A61-1)</f>
        <v>2.80032818544818</v>
      </c>
      <c r="F61" s="14" t="n">
        <f aca="false">IF(D61="รับราชการ",สมมติฐาน!$D$13*(1+สมมติฐาน!$D$15)^(A61-1)*E61,0)</f>
        <v>0</v>
      </c>
      <c r="G61" s="14" t="n">
        <f aca="false">F61*12</f>
        <v>0</v>
      </c>
      <c r="H61" s="14" t="n">
        <f aca="false">IF(D61="รับราชการ",IF(A61&gt;=สมมติฐาน!$D$19,สมมติฐาน!$D$18,IF(A61&gt;=สมมติฐาน!$D$17,สมมติฐาน!$D$16,0))*12*E61,0)</f>
        <v>0</v>
      </c>
      <c r="I61" s="14" t="n">
        <f aca="false">G61*สมมติฐาน!$D$21</f>
        <v>0</v>
      </c>
      <c r="J61" s="14" t="n">
        <f aca="false">IF(AND(D61="รับราชการ",A61&lt;=สมมติฐาน!$D$23),สมมติฐาน!$D$22*12*E61,0)</f>
        <v>0</v>
      </c>
      <c r="K61" s="14" t="n">
        <f aca="false">IF(AND(D61="รับราชการ",A61&gt;=สมมติฐาน!$D$27,A61&lt;สมมติฐาน!$D$27+สมมติฐาน!$D$28),สมมติฐาน!$D$25*สมมติฐาน!$D$26*E61,0)</f>
        <v>0</v>
      </c>
      <c r="L61" s="14" t="n">
        <f aca="false">G61*สมมติฐาน!$D$20</f>
        <v>0</v>
      </c>
      <c r="M61" s="19" t="n">
        <f aca="false">IF(D61="รับราชการ",สมมติฐาน!$D$30+IF(AND(A61&gt;=สมมติฐาน!$D$32,A61&lt;=สมมติฐาน!$D$33),สมมติฐาน!$D$31,0),0)</f>
        <v>0</v>
      </c>
      <c r="N61" s="19" t="n">
        <f aca="false">IF(AND(A61&gt;=สมมติฐาน!$D$35,A61&lt;=สมมติฐาน!$D$36),สมมติฐาน!$D$34,0)+IF(D61="รับราชการ",0,สมมติฐาน!$D$37)</f>
        <v>2</v>
      </c>
      <c r="O61" s="21" t="n">
        <f aca="false">(1+สมมติฐาน!$B$43)^(A61-1)*(1+สมมติฐาน!$B$44)^(A61-1)</f>
        <v>7.84183794621551</v>
      </c>
      <c r="P61" s="14" t="n">
        <f aca="false">(M61*สมมติฐาน!$D$38+N61*สมมติฐาน!$D$39)*O61</f>
        <v>439142.924988068</v>
      </c>
      <c r="Q61" s="14" t="n">
        <f aca="false">IF(D61="รับราชการ",0,$AB$6*12*(1+สมมติฐาน!$B$46)^(A61-36-1))</f>
        <v>1115859.9117833</v>
      </c>
      <c r="R61" s="14" t="n">
        <f aca="false">IF(C61=สมมติฐาน!$D$8,$AB$7,0)+IF(C61=65,$AB$9,0)+IF(A61=62,$AB$10+$AB$11,0)</f>
        <v>0</v>
      </c>
      <c r="S61" s="14" t="n">
        <f aca="false">G61+H61+I61+J61+K61+L61+P61+Q61+R61</f>
        <v>1555002.83677137</v>
      </c>
      <c r="T61" s="14" t="n">
        <f aca="false">S61/E61</f>
        <v>555293.070595045</v>
      </c>
      <c r="U61" s="21" t="n">
        <f aca="false">1/(1+สมมติฐาน!$B$45)^(A61-1)</f>
        <v>0.130096722756323</v>
      </c>
      <c r="V61" s="14" t="n">
        <f aca="false">S61*U61</f>
        <v>202300.772940742</v>
      </c>
    </row>
    <row r="62" customFormat="false" ht="15" hidden="false" customHeight="true" outlineLevel="0" collapsed="false">
      <c r="A62" s="22" t="n">
        <v>54</v>
      </c>
      <c r="B62" s="22" t="n">
        <f aca="false">สมมติฐาน!$B$42+A62-1</f>
        <v>2622</v>
      </c>
      <c r="C62" s="22" t="n">
        <f aca="false">สมมติฐาน!$D$7+A62-1</f>
        <v>77</v>
      </c>
      <c r="D62" s="23" t="str">
        <f aca="false">IF(C62&lt;สมมติฐาน!$D$8,"รับราชการ","รับบำนาญ")</f>
        <v>รับบำนาญ</v>
      </c>
      <c r="E62" s="24" t="n">
        <f aca="false">(1+สมมติฐาน!$B$43)^(A62-1)</f>
        <v>2.85633474915715</v>
      </c>
      <c r="F62" s="25" t="n">
        <f aca="false">IF(D62="รับราชการ",สมมติฐาน!$D$13*(1+สมมติฐาน!$D$15)^(A62-1)*E62,0)</f>
        <v>0</v>
      </c>
      <c r="G62" s="25" t="n">
        <f aca="false">F62*12</f>
        <v>0</v>
      </c>
      <c r="H62" s="25" t="n">
        <f aca="false">IF(D62="รับราชการ",IF(A62&gt;=สมมติฐาน!$D$19,สมมติฐาน!$D$18,IF(A62&gt;=สมมติฐาน!$D$17,สมมติฐาน!$D$16,0))*12*E62,0)</f>
        <v>0</v>
      </c>
      <c r="I62" s="25" t="n">
        <f aca="false">G62*สมมติฐาน!$D$21</f>
        <v>0</v>
      </c>
      <c r="J62" s="25" t="n">
        <f aca="false">IF(AND(D62="รับราชการ",A62&lt;=สมมติฐาน!$D$23),สมมติฐาน!$D$22*12*E62,0)</f>
        <v>0</v>
      </c>
      <c r="K62" s="25" t="n">
        <f aca="false">IF(AND(D62="รับราชการ",A62&gt;=สมมติฐาน!$D$27,A62&lt;สมมติฐาน!$D$27+สมมติฐาน!$D$28),สมมติฐาน!$D$25*สมมติฐาน!$D$26*E62,0)</f>
        <v>0</v>
      </c>
      <c r="L62" s="25" t="n">
        <f aca="false">G62*สมมติฐาน!$D$20</f>
        <v>0</v>
      </c>
      <c r="M62" s="22" t="n">
        <f aca="false">IF(D62="รับราชการ",สมมติฐาน!$D$30+IF(AND(A62&gt;=สมมติฐาน!$D$32,A62&lt;=สมมติฐาน!$D$33),สมมติฐาน!$D$31,0),0)</f>
        <v>0</v>
      </c>
      <c r="N62" s="22" t="n">
        <f aca="false">IF(AND(A62&gt;=สมมติฐาน!$D$35,A62&lt;=สมมติฐาน!$D$36),สมมติฐาน!$D$34,0)+IF(D62="รับราชการ",0,สมมติฐาน!$D$37)</f>
        <v>2</v>
      </c>
      <c r="O62" s="24" t="n">
        <f aca="false">(1+สมมติฐาน!$B$43)^(A62-1)*(1+สมมติฐาน!$B$44)^(A62-1)</f>
        <v>8.15864819924261</v>
      </c>
      <c r="P62" s="25" t="n">
        <f aca="false">(M62*สมมติฐาน!$D$38+N62*สมมติฐาน!$D$39)*O62</f>
        <v>456884.299157586</v>
      </c>
      <c r="Q62" s="25" t="n">
        <f aca="false">IF(D62="รับราชการ",0,$AB$6*12*(1+สมมติฐาน!$B$46)^(A62-36-1))</f>
        <v>1115859.9117833</v>
      </c>
      <c r="R62" s="25" t="n">
        <f aca="false">IF(C62=สมมติฐาน!$D$8,$AB$7,0)+IF(C62=65,$AB$9,0)+IF(A62=62,$AB$10+$AB$11,0)</f>
        <v>0</v>
      </c>
      <c r="S62" s="25" t="n">
        <f aca="false">G62+H62+I62+J62+K62+L62+P62+Q62+R62</f>
        <v>1572744.21094089</v>
      </c>
      <c r="T62" s="25" t="n">
        <f aca="false">S62/E62</f>
        <v>550616.208903728</v>
      </c>
      <c r="U62" s="24" t="n">
        <f aca="false">1/(1+สมมติฐาน!$B$45)^(A62-1)</f>
        <v>0.125093002650311</v>
      </c>
      <c r="V62" s="25" t="n">
        <f aca="false">S62*U62</f>
        <v>196739.29574749</v>
      </c>
    </row>
    <row r="63" customFormat="false" ht="15" hidden="false" customHeight="true" outlineLevel="0" collapsed="false">
      <c r="A63" s="19" t="n">
        <v>55</v>
      </c>
      <c r="B63" s="19" t="n">
        <f aca="false">สมมติฐาน!$B$42+A63-1</f>
        <v>2623</v>
      </c>
      <c r="C63" s="19" t="n">
        <f aca="false">สมมติฐาน!$D$7+A63-1</f>
        <v>78</v>
      </c>
      <c r="D63" s="20" t="str">
        <f aca="false">IF(C63&lt;สมมติฐาน!$D$8,"รับราชการ","รับบำนาญ")</f>
        <v>รับบำนาญ</v>
      </c>
      <c r="E63" s="21" t="n">
        <f aca="false">(1+สมมติฐาน!$B$43)^(A63-1)</f>
        <v>2.91346144414029</v>
      </c>
      <c r="F63" s="14" t="n">
        <f aca="false">IF(D63="รับราชการ",สมมติฐาน!$D$13*(1+สมมติฐาน!$D$15)^(A63-1)*E63,0)</f>
        <v>0</v>
      </c>
      <c r="G63" s="14" t="n">
        <f aca="false">F63*12</f>
        <v>0</v>
      </c>
      <c r="H63" s="14" t="n">
        <f aca="false">IF(D63="รับราชการ",IF(A63&gt;=สมมติฐาน!$D$19,สมมติฐาน!$D$18,IF(A63&gt;=สมมติฐาน!$D$17,สมมติฐาน!$D$16,0))*12*E63,0)</f>
        <v>0</v>
      </c>
      <c r="I63" s="14" t="n">
        <f aca="false">G63*สมมติฐาน!$D$21</f>
        <v>0</v>
      </c>
      <c r="J63" s="14" t="n">
        <f aca="false">IF(AND(D63="รับราชการ",A63&lt;=สมมติฐาน!$D$23),สมมติฐาน!$D$22*12*E63,0)</f>
        <v>0</v>
      </c>
      <c r="K63" s="14" t="n">
        <f aca="false">IF(AND(D63="รับราชการ",A63&gt;=สมมติฐาน!$D$27,A63&lt;สมมติฐาน!$D$27+สมมติฐาน!$D$28),สมมติฐาน!$D$25*สมมติฐาน!$D$26*E63,0)</f>
        <v>0</v>
      </c>
      <c r="L63" s="14" t="n">
        <f aca="false">G63*สมมติฐาน!$D$20</f>
        <v>0</v>
      </c>
      <c r="M63" s="19" t="n">
        <f aca="false">IF(D63="รับราชการ",สมมติฐาน!$D$30+IF(AND(A63&gt;=สมมติฐาน!$D$32,A63&lt;=สมมติฐาน!$D$33),สมมติฐาน!$D$31,0),0)</f>
        <v>0</v>
      </c>
      <c r="N63" s="19" t="n">
        <f aca="false">IF(AND(A63&gt;=สมมติฐาน!$D$35,A63&lt;=สมมติฐาน!$D$36),สมมติฐาน!$D$34,0)+IF(D63="รับราชการ",0,สมมติฐาน!$D$37)</f>
        <v>2</v>
      </c>
      <c r="O63" s="21" t="n">
        <f aca="false">(1+สมมติฐาน!$B$43)^(A63-1)*(1+สมมติฐาน!$B$44)^(A63-1)</f>
        <v>8.48825758649202</v>
      </c>
      <c r="P63" s="14" t="n">
        <f aca="false">(M63*สมมติฐาน!$D$38+N63*สมมติฐาน!$D$39)*O63</f>
        <v>475342.424843553</v>
      </c>
      <c r="Q63" s="14" t="n">
        <f aca="false">IF(D63="รับราชการ",0,$AB$6*12*(1+สมมติฐาน!$B$46)^(A63-36-1))</f>
        <v>1115859.9117833</v>
      </c>
      <c r="R63" s="14" t="n">
        <f aca="false">IF(C63=สมมติฐาน!$D$8,$AB$7,0)+IF(C63=65,$AB$9,0)+IF(A63=62,$AB$10+$AB$11,0)</f>
        <v>0</v>
      </c>
      <c r="S63" s="14" t="n">
        <f aca="false">G63+H63+I63+J63+K63+L63+P63+Q63+R63</f>
        <v>1591202.33662686</v>
      </c>
      <c r="T63" s="14" t="n">
        <f aca="false">S63/E63</f>
        <v>546155.275137472</v>
      </c>
      <c r="U63" s="21" t="n">
        <f aca="false">1/(1+สมมติฐาน!$B$45)^(A63-1)</f>
        <v>0.120281733317607</v>
      </c>
      <c r="V63" s="14" t="n">
        <f aca="false">S63*U63</f>
        <v>191392.575108504</v>
      </c>
    </row>
    <row r="64" customFormat="false" ht="15" hidden="false" customHeight="true" outlineLevel="0" collapsed="false">
      <c r="A64" s="22" t="n">
        <v>56</v>
      </c>
      <c r="B64" s="22" t="n">
        <f aca="false">สมมติฐาน!$B$42+A64-1</f>
        <v>2624</v>
      </c>
      <c r="C64" s="22" t="n">
        <f aca="false">สมมติฐาน!$D$7+A64-1</f>
        <v>79</v>
      </c>
      <c r="D64" s="23" t="str">
        <f aca="false">IF(C64&lt;สมมติฐาน!$D$8,"รับราชการ","รับบำนาญ")</f>
        <v>รับบำนาญ</v>
      </c>
      <c r="E64" s="24" t="n">
        <f aca="false">(1+สมมติฐาน!$B$43)^(A64-1)</f>
        <v>2.97173067302309</v>
      </c>
      <c r="F64" s="25" t="n">
        <f aca="false">IF(D64="รับราชการ",สมมติฐาน!$D$13*(1+สมมติฐาน!$D$15)^(A64-1)*E64,0)</f>
        <v>0</v>
      </c>
      <c r="G64" s="25" t="n">
        <f aca="false">F64*12</f>
        <v>0</v>
      </c>
      <c r="H64" s="25" t="n">
        <f aca="false">IF(D64="รับราชการ",IF(A64&gt;=สมมติฐาน!$D$19,สมมติฐาน!$D$18,IF(A64&gt;=สมมติฐาน!$D$17,สมมติฐาน!$D$16,0))*12*E64,0)</f>
        <v>0</v>
      </c>
      <c r="I64" s="25" t="n">
        <f aca="false">G64*สมมติฐาน!$D$21</f>
        <v>0</v>
      </c>
      <c r="J64" s="25" t="n">
        <f aca="false">IF(AND(D64="รับราชการ",A64&lt;=สมมติฐาน!$D$23),สมมติฐาน!$D$22*12*E64,0)</f>
        <v>0</v>
      </c>
      <c r="K64" s="25" t="n">
        <f aca="false">IF(AND(D64="รับราชการ",A64&gt;=สมมติฐาน!$D$27,A64&lt;สมมติฐาน!$D$27+สมมติฐาน!$D$28),สมมติฐาน!$D$25*สมมติฐาน!$D$26*E64,0)</f>
        <v>0</v>
      </c>
      <c r="L64" s="25" t="n">
        <f aca="false">G64*สมมติฐาน!$D$20</f>
        <v>0</v>
      </c>
      <c r="M64" s="22" t="n">
        <f aca="false">IF(D64="รับราชการ",สมมติฐาน!$D$30+IF(AND(A64&gt;=สมมติฐาน!$D$32,A64&lt;=สมมติฐาน!$D$33),สมมติฐาน!$D$31,0),0)</f>
        <v>0</v>
      </c>
      <c r="N64" s="22" t="n">
        <f aca="false">IF(AND(A64&gt;=สมมติฐาน!$D$35,A64&lt;=สมมติฐาน!$D$36),สมมติฐาน!$D$34,0)+IF(D64="รับราชการ",0,สมมติฐาน!$D$37)</f>
        <v>2</v>
      </c>
      <c r="O64" s="24" t="n">
        <f aca="false">(1+สมมติฐาน!$B$43)^(A64-1)*(1+สมมติฐาน!$B$44)^(A64-1)</f>
        <v>8.83118319298629</v>
      </c>
      <c r="P64" s="25" t="n">
        <f aca="false">(M64*สมมติฐาน!$D$38+N64*สมมติฐาน!$D$39)*O64</f>
        <v>494546.258807232</v>
      </c>
      <c r="Q64" s="25" t="n">
        <f aca="false">IF(D64="รับราชการ",0,$AB$6*12*(1+สมมติฐาน!$B$46)^(A64-36-1))</f>
        <v>1115859.9117833</v>
      </c>
      <c r="R64" s="25" t="n">
        <f aca="false">IF(C64=สมมติฐาน!$D$8,$AB$7,0)+IF(C64=65,$AB$9,0)+IF(A64=62,$AB$10+$AB$11,0)</f>
        <v>0</v>
      </c>
      <c r="S64" s="25" t="n">
        <f aca="false">G64+H64+I64+J64+K64+L64+P64+Q64+R64</f>
        <v>1610406.17059053</v>
      </c>
      <c r="T64" s="25" t="n">
        <f aca="false">S64/E64</f>
        <v>541908.519910485</v>
      </c>
      <c r="U64" s="24" t="n">
        <f aca="false">1/(1+สมมติฐาน!$B$45)^(A64-1)</f>
        <v>0.115655512805391</v>
      </c>
      <c r="V64" s="25" t="n">
        <f aca="false">S64*U64</f>
        <v>186252.351484614</v>
      </c>
    </row>
    <row r="65" customFormat="false" ht="15" hidden="false" customHeight="true" outlineLevel="0" collapsed="false">
      <c r="A65" s="19" t="n">
        <v>57</v>
      </c>
      <c r="B65" s="19" t="n">
        <f aca="false">สมมติฐาน!$B$42+A65-1</f>
        <v>2625</v>
      </c>
      <c r="C65" s="19" t="n">
        <f aca="false">สมมติฐาน!$D$7+A65-1</f>
        <v>80</v>
      </c>
      <c r="D65" s="20" t="str">
        <f aca="false">IF(C65&lt;สมมติฐาน!$D$8,"รับราชการ","รับบำนาญ")</f>
        <v>รับบำนาญ</v>
      </c>
      <c r="E65" s="21" t="n">
        <f aca="false">(1+สมมติฐาน!$B$43)^(A65-1)</f>
        <v>3.03116528648356</v>
      </c>
      <c r="F65" s="14" t="n">
        <f aca="false">IF(D65="รับราชการ",สมมติฐาน!$D$13*(1+สมมติฐาน!$D$15)^(A65-1)*E65,0)</f>
        <v>0</v>
      </c>
      <c r="G65" s="14" t="n">
        <f aca="false">F65*12</f>
        <v>0</v>
      </c>
      <c r="H65" s="14" t="n">
        <f aca="false">IF(D65="รับราชการ",IF(A65&gt;=สมมติฐาน!$D$19,สมมติฐาน!$D$18,IF(A65&gt;=สมมติฐาน!$D$17,สมมติฐาน!$D$16,0))*12*E65,0)</f>
        <v>0</v>
      </c>
      <c r="I65" s="14" t="n">
        <f aca="false">G65*สมมติฐาน!$D$21</f>
        <v>0</v>
      </c>
      <c r="J65" s="14" t="n">
        <f aca="false">IF(AND(D65="รับราชการ",A65&lt;=สมมติฐาน!$D$23),สมมติฐาน!$D$22*12*E65,0)</f>
        <v>0</v>
      </c>
      <c r="K65" s="14" t="n">
        <f aca="false">IF(AND(D65="รับราชการ",A65&gt;=สมมติฐาน!$D$27,A65&lt;สมมติฐาน!$D$27+สมมติฐาน!$D$28),สมมติฐาน!$D$25*สมมติฐาน!$D$26*E65,0)</f>
        <v>0</v>
      </c>
      <c r="L65" s="14" t="n">
        <f aca="false">G65*สมมติฐาน!$D$20</f>
        <v>0</v>
      </c>
      <c r="M65" s="19" t="n">
        <f aca="false">IF(D65="รับราชการ",สมมติฐาน!$D$30+IF(AND(A65&gt;=สมมติฐาน!$D$32,A65&lt;=สมมติฐาน!$D$33),สมมติฐาน!$D$31,0),0)</f>
        <v>0</v>
      </c>
      <c r="N65" s="19" t="n">
        <f aca="false">IF(AND(A65&gt;=สมมติฐาน!$D$35,A65&lt;=สมมติฐาน!$D$36),สมมติฐาน!$D$34,0)+IF(D65="รับราชการ",0,สมมติฐาน!$D$37)</f>
        <v>2</v>
      </c>
      <c r="O65" s="21" t="n">
        <f aca="false">(1+สมมติฐาน!$B$43)^(A65-1)*(1+สมมติฐาน!$B$44)^(A65-1)</f>
        <v>9.18796299398294</v>
      </c>
      <c r="P65" s="14" t="n">
        <f aca="false">(M65*สมมติฐาน!$D$38+N65*สมมติฐาน!$D$39)*O65</f>
        <v>514525.927663045</v>
      </c>
      <c r="Q65" s="14" t="n">
        <f aca="false">IF(D65="รับราชการ",0,$AB$6*12*(1+สมมติฐาน!$B$46)^(A65-36-1))</f>
        <v>1115859.9117833</v>
      </c>
      <c r="R65" s="14" t="n">
        <f aca="false">IF(C65=สมมติฐาน!$D$8,$AB$7,0)+IF(C65=65,$AB$9,0)+IF(A65=62,$AB$10+$AB$11,0)</f>
        <v>0</v>
      </c>
      <c r="S65" s="14" t="n">
        <f aca="false">G65+H65+I65+J65+K65+L65+P65+Q65+R65</f>
        <v>1630385.83944635</v>
      </c>
      <c r="T65" s="14" t="n">
        <f aca="false">S65/E65</f>
        <v>537874.277828561</v>
      </c>
      <c r="U65" s="21" t="n">
        <f aca="false">1/(1+สมมติฐาน!$B$45)^(A65-1)</f>
        <v>0.111207223851338</v>
      </c>
      <c r="V65" s="14" t="n">
        <f aca="false">S65*U65</f>
        <v>181310.683011361</v>
      </c>
    </row>
    <row r="66" customFormat="false" ht="15" hidden="false" customHeight="true" outlineLevel="0" collapsed="false">
      <c r="A66" s="22" t="n">
        <v>58</v>
      </c>
      <c r="B66" s="22" t="n">
        <f aca="false">สมมติฐาน!$B$42+A66-1</f>
        <v>2626</v>
      </c>
      <c r="C66" s="22" t="n">
        <f aca="false">สมมติฐาน!$D$7+A66-1</f>
        <v>81</v>
      </c>
      <c r="D66" s="23" t="str">
        <f aca="false">IF(C66&lt;สมมติฐาน!$D$8,"รับราชการ","รับบำนาญ")</f>
        <v>รับบำนาญ</v>
      </c>
      <c r="E66" s="24" t="n">
        <f aca="false">(1+สมมติฐาน!$B$43)^(A66-1)</f>
        <v>3.09178859221323</v>
      </c>
      <c r="F66" s="25" t="n">
        <f aca="false">IF(D66="รับราชการ",สมมติฐาน!$D$13*(1+สมมติฐาน!$D$15)^(A66-1)*E66,0)</f>
        <v>0</v>
      </c>
      <c r="G66" s="25" t="n">
        <f aca="false">F66*12</f>
        <v>0</v>
      </c>
      <c r="H66" s="25" t="n">
        <f aca="false">IF(D66="รับราชการ",IF(A66&gt;=สมมติฐาน!$D$19,สมมติฐาน!$D$18,IF(A66&gt;=สมมติฐาน!$D$17,สมมติฐาน!$D$16,0))*12*E66,0)</f>
        <v>0</v>
      </c>
      <c r="I66" s="25" t="n">
        <f aca="false">G66*สมมติฐาน!$D$21</f>
        <v>0</v>
      </c>
      <c r="J66" s="25" t="n">
        <f aca="false">IF(AND(D66="รับราชการ",A66&lt;=สมมติฐาน!$D$23),สมมติฐาน!$D$22*12*E66,0)</f>
        <v>0</v>
      </c>
      <c r="K66" s="25" t="n">
        <f aca="false">IF(AND(D66="รับราชการ",A66&gt;=สมมติฐาน!$D$27,A66&lt;สมมติฐาน!$D$27+สมมติฐาน!$D$28),สมมติฐาน!$D$25*สมมติฐาน!$D$26*E66,0)</f>
        <v>0</v>
      </c>
      <c r="L66" s="25" t="n">
        <f aca="false">G66*สมมติฐาน!$D$20</f>
        <v>0</v>
      </c>
      <c r="M66" s="22" t="n">
        <f aca="false">IF(D66="รับราชการ",สมมติฐาน!$D$30+IF(AND(A66&gt;=สมมติฐาน!$D$32,A66&lt;=สมมติฐาน!$D$33),สมมติฐาน!$D$31,0),0)</f>
        <v>0</v>
      </c>
      <c r="N66" s="22" t="n">
        <f aca="false">IF(AND(A66&gt;=สมมติฐาน!$D$35,A66&lt;=สมมติฐาน!$D$36),สมมติฐาน!$D$34,0)+IF(D66="รับราชการ",0,สมมติฐาน!$D$37)</f>
        <v>2</v>
      </c>
      <c r="O66" s="24" t="n">
        <f aca="false">(1+สมมติฐาน!$B$43)^(A66-1)*(1+สมมติฐาน!$B$44)^(A66-1)</f>
        <v>9.55915669893985</v>
      </c>
      <c r="P66" s="25" t="n">
        <f aca="false">(M66*สมมติฐาน!$D$38+N66*สมมติฐาน!$D$39)*O66</f>
        <v>535312.775140632</v>
      </c>
      <c r="Q66" s="25" t="n">
        <f aca="false">IF(D66="รับราชการ",0,$AB$6*12*(1+สมมติฐาน!$B$46)^(A66-36-1))</f>
        <v>1115859.9117833</v>
      </c>
      <c r="R66" s="25" t="n">
        <f aca="false">IF(C66=สมมติฐาน!$D$8,$AB$7,0)+IF(C66=65,$AB$9,0)+IF(A66=62,$AB$10+$AB$11,0)</f>
        <v>0</v>
      </c>
      <c r="S66" s="25" t="n">
        <f aca="false">G66+H66+I66+J66+K66+L66+P66+Q66+R66</f>
        <v>1651172.68692393</v>
      </c>
      <c r="T66" s="25" t="n">
        <f aca="false">S66/E66</f>
        <v>534050.966835982</v>
      </c>
      <c r="U66" s="24" t="n">
        <f aca="false">1/(1+สมมติฐาน!$B$45)^(A66-1)</f>
        <v>0.106930022933978</v>
      </c>
      <c r="V66" s="25" t="n">
        <f aca="false">S66*U66</f>
        <v>176559.933280735</v>
      </c>
    </row>
    <row r="67" customFormat="false" ht="15" hidden="false" customHeight="true" outlineLevel="0" collapsed="false">
      <c r="A67" s="19" t="n">
        <v>59</v>
      </c>
      <c r="B67" s="19" t="n">
        <f aca="false">สมมติฐาน!$B$42+A67-1</f>
        <v>2627</v>
      </c>
      <c r="C67" s="19" t="n">
        <f aca="false">สมมติฐาน!$D$7+A67-1</f>
        <v>82</v>
      </c>
      <c r="D67" s="20" t="str">
        <f aca="false">IF(C67&lt;สมมติฐาน!$D$8,"รับราชการ","รับบำนาญ")</f>
        <v>รับบำนาญ</v>
      </c>
      <c r="E67" s="21" t="n">
        <f aca="false">(1+สมมติฐาน!$B$43)^(A67-1)</f>
        <v>3.15362436405749</v>
      </c>
      <c r="F67" s="14" t="n">
        <f aca="false">IF(D67="รับราชการ",สมมติฐาน!$D$13*(1+สมมติฐาน!$D$15)^(A67-1)*E67,0)</f>
        <v>0</v>
      </c>
      <c r="G67" s="14" t="n">
        <f aca="false">F67*12</f>
        <v>0</v>
      </c>
      <c r="H67" s="14" t="n">
        <f aca="false">IF(D67="รับราชการ",IF(A67&gt;=สมมติฐาน!$D$19,สมมติฐาน!$D$18,IF(A67&gt;=สมมติฐาน!$D$17,สมมติฐาน!$D$16,0))*12*E67,0)</f>
        <v>0</v>
      </c>
      <c r="I67" s="14" t="n">
        <f aca="false">G67*สมมติฐาน!$D$21</f>
        <v>0</v>
      </c>
      <c r="J67" s="14" t="n">
        <f aca="false">IF(AND(D67="รับราชการ",A67&lt;=สมมติฐาน!$D$23),สมมติฐาน!$D$22*12*E67,0)</f>
        <v>0</v>
      </c>
      <c r="K67" s="14" t="n">
        <f aca="false">IF(AND(D67="รับราชการ",A67&gt;=สมมติฐาน!$D$27,A67&lt;สมมติฐาน!$D$27+สมมติฐาน!$D$28),สมมติฐาน!$D$25*สมมติฐาน!$D$26*E67,0)</f>
        <v>0</v>
      </c>
      <c r="L67" s="14" t="n">
        <f aca="false">G67*สมมติฐาน!$D$20</f>
        <v>0</v>
      </c>
      <c r="M67" s="19" t="n">
        <f aca="false">IF(D67="รับราชการ",สมมติฐาน!$D$30+IF(AND(A67&gt;=สมมติฐาน!$D$32,A67&lt;=สมมติฐาน!$D$33),สมมติฐาน!$D$31,0),0)</f>
        <v>0</v>
      </c>
      <c r="N67" s="19" t="n">
        <f aca="false">IF(AND(A67&gt;=สมมติฐาน!$D$35,A67&lt;=สมมติฐาน!$D$36),สมมติฐาน!$D$34,0)+IF(D67="รับราชการ",0,สมมติฐาน!$D$37)</f>
        <v>2</v>
      </c>
      <c r="O67" s="21" t="n">
        <f aca="false">(1+สมมติฐาน!$B$43)^(A67-1)*(1+สมมติฐาน!$B$44)^(A67-1)</f>
        <v>9.94534662957702</v>
      </c>
      <c r="P67" s="14" t="n">
        <f aca="false">(M67*สมมติฐาน!$D$38+N67*สมมติฐาน!$D$39)*O67</f>
        <v>556939.411256313</v>
      </c>
      <c r="Q67" s="14" t="n">
        <f aca="false">IF(D67="รับราชการ",0,$AB$6*12*(1+สมมติฐาน!$B$46)^(A67-36-1))</f>
        <v>1115859.9117833</v>
      </c>
      <c r="R67" s="14" t="n">
        <f aca="false">IF(C67=สมมติฐาน!$D$8,$AB$7,0)+IF(C67=65,$AB$9,0)+IF(A67=62,$AB$10+$AB$11,0)</f>
        <v>0</v>
      </c>
      <c r="S67" s="14" t="n">
        <f aca="false">G67+H67+I67+J67+K67+L67+P67+Q67+R67</f>
        <v>1672799.32303962</v>
      </c>
      <c r="T67" s="14" t="n">
        <f aca="false">S67/E67</f>
        <v>530437.087595103</v>
      </c>
      <c r="U67" s="21" t="n">
        <f aca="false">1/(1+สมมติฐาน!$B$45)^(A67-1)</f>
        <v>0.10281732974421</v>
      </c>
      <c r="V67" s="14" t="n">
        <f aca="false">S67*U67</f>
        <v>171992.759592856</v>
      </c>
    </row>
    <row r="68" customFormat="false" ht="15" hidden="false" customHeight="true" outlineLevel="0" collapsed="false">
      <c r="A68" s="22" t="n">
        <v>60</v>
      </c>
      <c r="B68" s="22" t="n">
        <f aca="false">สมมติฐาน!$B$42+A68-1</f>
        <v>2628</v>
      </c>
      <c r="C68" s="22" t="n">
        <f aca="false">สมมติฐาน!$D$7+A68-1</f>
        <v>83</v>
      </c>
      <c r="D68" s="23" t="str">
        <f aca="false">IF(C68&lt;สมมติฐาน!$D$8,"รับราชการ","รับบำนาญ")</f>
        <v>รับบำนาญ</v>
      </c>
      <c r="E68" s="24" t="n">
        <f aca="false">(1+สมมติฐาน!$B$43)^(A68-1)</f>
        <v>3.21669685133864</v>
      </c>
      <c r="F68" s="25" t="n">
        <f aca="false">IF(D68="รับราชการ",สมมติฐาน!$D$13*(1+สมมติฐาน!$D$15)^(A68-1)*E68,0)</f>
        <v>0</v>
      </c>
      <c r="G68" s="25" t="n">
        <f aca="false">F68*12</f>
        <v>0</v>
      </c>
      <c r="H68" s="25" t="n">
        <f aca="false">IF(D68="รับราชการ",IF(A68&gt;=สมมติฐาน!$D$19,สมมติฐาน!$D$18,IF(A68&gt;=สมมติฐาน!$D$17,สมมติฐาน!$D$16,0))*12*E68,0)</f>
        <v>0</v>
      </c>
      <c r="I68" s="25" t="n">
        <f aca="false">G68*สมมติฐาน!$D$21</f>
        <v>0</v>
      </c>
      <c r="J68" s="25" t="n">
        <f aca="false">IF(AND(D68="รับราชการ",A68&lt;=สมมติฐาน!$D$23),สมมติฐาน!$D$22*12*E68,0)</f>
        <v>0</v>
      </c>
      <c r="K68" s="25" t="n">
        <f aca="false">IF(AND(D68="รับราชการ",A68&gt;=สมมติฐาน!$D$27,A68&lt;สมมติฐาน!$D$27+สมมติฐาน!$D$28),สมมติฐาน!$D$25*สมมติฐาน!$D$26*E68,0)</f>
        <v>0</v>
      </c>
      <c r="L68" s="25" t="n">
        <f aca="false">G68*สมมติฐาน!$D$20</f>
        <v>0</v>
      </c>
      <c r="M68" s="22" t="n">
        <f aca="false">IF(D68="รับราชการ",สมมติฐาน!$D$30+IF(AND(A68&gt;=สมมติฐาน!$D$32,A68&lt;=สมมติฐาน!$D$33),สมมติฐาน!$D$31,0),0)</f>
        <v>0</v>
      </c>
      <c r="N68" s="22" t="n">
        <f aca="false">IF(AND(A68&gt;=สมมติฐาน!$D$35,A68&lt;=สมมติฐาน!$D$36),สมมติฐาน!$D$34,0)+IF(D68="รับราชการ",0,สมมติฐาน!$D$37)</f>
        <v>2</v>
      </c>
      <c r="O68" s="24" t="n">
        <f aca="false">(1+สมมติฐาน!$B$43)^(A68-1)*(1+สมมติฐาน!$B$44)^(A68-1)</f>
        <v>10.3471386334119</v>
      </c>
      <c r="P68" s="25" t="n">
        <f aca="false">(M68*สมมติฐาน!$D$38+N68*สมมติฐาน!$D$39)*O68</f>
        <v>579439.763471068</v>
      </c>
      <c r="Q68" s="25" t="n">
        <f aca="false">IF(D68="รับราชการ",0,$AB$6*12*(1+สมมติฐาน!$B$46)^(A68-36-1))</f>
        <v>1115859.9117833</v>
      </c>
      <c r="R68" s="25" t="n">
        <f aca="false">IF(C68=สมมติฐาน!$D$8,$AB$7,0)+IF(C68=65,$AB$9,0)+IF(A68=62,$AB$10+$AB$11,0)</f>
        <v>0</v>
      </c>
      <c r="S68" s="25" t="n">
        <f aca="false">G68+H68+I68+J68+K68+L68+P68+Q68+R68</f>
        <v>1695299.67525437</v>
      </c>
      <c r="T68" s="25" t="n">
        <f aca="false">S68/E68</f>
        <v>527031.222898379</v>
      </c>
      <c r="U68" s="24" t="n">
        <f aca="false">1/(1+สมมติฐาน!$B$45)^(A68-1)</f>
        <v>0.0988628170617404</v>
      </c>
      <c r="V68" s="25" t="n">
        <f aca="false">S68*U68</f>
        <v>167602.101659501</v>
      </c>
    </row>
    <row r="69" customFormat="false" ht="15" hidden="false" customHeight="true" outlineLevel="0" collapsed="false">
      <c r="A69" s="19" t="n">
        <v>61</v>
      </c>
      <c r="B69" s="19" t="n">
        <f aca="false">สมมติฐาน!$B$42+A69-1</f>
        <v>2629</v>
      </c>
      <c r="C69" s="19" t="n">
        <f aca="false">สมมติฐาน!$D$7+A69-1</f>
        <v>84</v>
      </c>
      <c r="D69" s="20" t="str">
        <f aca="false">IF(C69&lt;สมมติฐาน!$D$8,"รับราชการ","รับบำนาญ")</f>
        <v>รับบำนาญ</v>
      </c>
      <c r="E69" s="21" t="n">
        <f aca="false">(1+สมมติฐาน!$B$43)^(A69-1)</f>
        <v>3.28103078836541</v>
      </c>
      <c r="F69" s="14" t="n">
        <f aca="false">IF(D69="รับราชการ",สมมติฐาน!$D$13*(1+สมมติฐาน!$D$15)^(A69-1)*E69,0)</f>
        <v>0</v>
      </c>
      <c r="G69" s="14" t="n">
        <f aca="false">F69*12</f>
        <v>0</v>
      </c>
      <c r="H69" s="14" t="n">
        <f aca="false">IF(D69="รับราชการ",IF(A69&gt;=สมมติฐาน!$D$19,สมมติฐาน!$D$18,IF(A69&gt;=สมมติฐาน!$D$17,สมมติฐาน!$D$16,0))*12*E69,0)</f>
        <v>0</v>
      </c>
      <c r="I69" s="14" t="n">
        <f aca="false">G69*สมมติฐาน!$D$21</f>
        <v>0</v>
      </c>
      <c r="J69" s="14" t="n">
        <f aca="false">IF(AND(D69="รับราชการ",A69&lt;=สมมติฐาน!$D$23),สมมติฐาน!$D$22*12*E69,0)</f>
        <v>0</v>
      </c>
      <c r="K69" s="14" t="n">
        <f aca="false">IF(AND(D69="รับราชการ",A69&gt;=สมมติฐาน!$D$27,A69&lt;สมมติฐาน!$D$27+สมมติฐาน!$D$28),สมมติฐาน!$D$25*สมมติฐาน!$D$26*E69,0)</f>
        <v>0</v>
      </c>
      <c r="L69" s="14" t="n">
        <f aca="false">G69*สมมติฐาน!$D$20</f>
        <v>0</v>
      </c>
      <c r="M69" s="19" t="n">
        <f aca="false">IF(D69="รับราชการ",สมมติฐาน!$D$30+IF(AND(A69&gt;=สมมติฐาน!$D$32,A69&lt;=สมมติฐาน!$D$33),สมมติฐาน!$D$31,0),0)</f>
        <v>0</v>
      </c>
      <c r="N69" s="19" t="n">
        <f aca="false">IF(AND(A69&gt;=สมมติฐาน!$D$35,A69&lt;=สมมติฐาน!$D$36),สมมติฐาน!$D$34,0)+IF(D69="รับราชการ",0,สมมติฐาน!$D$37)</f>
        <v>2</v>
      </c>
      <c r="O69" s="21" t="n">
        <f aca="false">(1+สมมติฐาน!$B$43)^(A69-1)*(1+สมมติฐาน!$B$44)^(A69-1)</f>
        <v>10.7651630342018</v>
      </c>
      <c r="P69" s="14" t="n">
        <f aca="false">(M69*สมมติฐาน!$D$38+N69*สมมติฐาน!$D$39)*O69</f>
        <v>602849.129915299</v>
      </c>
      <c r="Q69" s="14" t="n">
        <f aca="false">IF(D69="รับราชการ",0,$AB$6*12*(1+สมมติฐาน!$B$46)^(A69-36-1))</f>
        <v>1115859.9117833</v>
      </c>
      <c r="R69" s="14" t="n">
        <f aca="false">IF(C69=สมมติฐาน!$D$8,$AB$7,0)+IF(C69=65,$AB$9,0)+IF(A69=62,$AB$10+$AB$11,0)</f>
        <v>0</v>
      </c>
      <c r="S69" s="14" t="n">
        <f aca="false">G69+H69+I69+J69+K69+L69+P69+Q69+R69</f>
        <v>1718709.0416986</v>
      </c>
      <c r="T69" s="14" t="n">
        <f aca="false">S69/E69</f>
        <v>523832.037112596</v>
      </c>
      <c r="U69" s="21" t="n">
        <f aca="false">1/(1+สมมติฐาน!$B$45)^(A69-1)</f>
        <v>0.0950604010209043</v>
      </c>
      <c r="V69" s="14" t="n">
        <f aca="false">S69*U69</f>
        <v>163381.170742123</v>
      </c>
    </row>
    <row r="70" customFormat="false" ht="15" hidden="false" customHeight="true" outlineLevel="0" collapsed="false">
      <c r="A70" s="22" t="n">
        <v>62</v>
      </c>
      <c r="B70" s="22" t="n">
        <f aca="false">สมมติฐาน!$B$42+A70-1</f>
        <v>2630</v>
      </c>
      <c r="C70" s="22" t="n">
        <f aca="false">สมมติฐาน!$D$7+A70-1</f>
        <v>85</v>
      </c>
      <c r="D70" s="23" t="str">
        <f aca="false">IF(C70&lt;สมมติฐาน!$D$8,"รับราชการ","รับบำนาญ")</f>
        <v>รับบำนาญ</v>
      </c>
      <c r="E70" s="24" t="n">
        <f aca="false">(1+สมมติฐาน!$B$43)^(A70-1)</f>
        <v>3.34665140413272</v>
      </c>
      <c r="F70" s="25" t="n">
        <f aca="false">IF(D70="รับราชการ",สมมติฐาน!$D$13*(1+สมมติฐาน!$D$15)^(A70-1)*E70,0)</f>
        <v>0</v>
      </c>
      <c r="G70" s="25" t="n">
        <f aca="false">F70*12</f>
        <v>0</v>
      </c>
      <c r="H70" s="25" t="n">
        <f aca="false">IF(D70="รับราชการ",IF(A70&gt;=สมมติฐาน!$D$19,สมมติฐาน!$D$18,IF(A70&gt;=สมมติฐาน!$D$17,สมมติฐาน!$D$16,0))*12*E70,0)</f>
        <v>0</v>
      </c>
      <c r="I70" s="25" t="n">
        <f aca="false">G70*สมมติฐาน!$D$21</f>
        <v>0</v>
      </c>
      <c r="J70" s="25" t="n">
        <f aca="false">IF(AND(D70="รับราชการ",A70&lt;=สมมติฐาน!$D$23),สมมติฐาน!$D$22*12*E70,0)</f>
        <v>0</v>
      </c>
      <c r="K70" s="25" t="n">
        <f aca="false">IF(AND(D70="รับราชการ",A70&gt;=สมมติฐาน!$D$27,A70&lt;สมมติฐาน!$D$27+สมมติฐาน!$D$28),สมมติฐาน!$D$25*สมมติฐาน!$D$26*E70,0)</f>
        <v>0</v>
      </c>
      <c r="L70" s="25" t="n">
        <f aca="false">G70*สมมติฐาน!$D$20</f>
        <v>0</v>
      </c>
      <c r="M70" s="22" t="n">
        <f aca="false">IF(D70="รับราชการ",สมมติฐาน!$D$30+IF(AND(A70&gt;=สมมติฐาน!$D$32,A70&lt;=สมมติฐาน!$D$33),สมมติฐาน!$D$31,0),0)</f>
        <v>0</v>
      </c>
      <c r="N70" s="22" t="n">
        <f aca="false">IF(AND(A70&gt;=สมมติฐาน!$D$35,A70&lt;=สมมติฐาน!$D$36),สมมติฐาน!$D$34,0)+IF(D70="รับราชการ",0,สมมติฐาน!$D$37)</f>
        <v>2</v>
      </c>
      <c r="O70" s="24" t="n">
        <f aca="false">(1+สมมติฐาน!$B$43)^(A70-1)*(1+สมมติฐาน!$B$44)^(A70-1)</f>
        <v>11.2000756207835</v>
      </c>
      <c r="P70" s="25" t="n">
        <f aca="false">(M70*สมมติฐาน!$D$38+N70*สมมติฐาน!$D$39)*O70</f>
        <v>627204.234763878</v>
      </c>
      <c r="Q70" s="25" t="n">
        <f aca="false">IF(D70="รับราชการ",0,$AB$6*12*(1+สมมติฐาน!$B$46)^(A70-36-1))</f>
        <v>1115859.9117833</v>
      </c>
      <c r="R70" s="25" t="n">
        <f aca="false">IF(C70=สมมติฐาน!$D$8,$AB$7,0)+IF(C70=65,$AB$9,0)+IF(A70=62,$AB$10+$AB$11,0)</f>
        <v>2568614.75740408</v>
      </c>
      <c r="S70" s="25" t="n">
        <f aca="false">G70+H70+I70+J70+K70+L70+P70+Q70+R70</f>
        <v>4311678.90395126</v>
      </c>
      <c r="T70" s="25" t="n">
        <f aca="false">S70/E70</f>
        <v>1288356.14567649</v>
      </c>
      <c r="U70" s="24" t="n">
        <f aca="false">1/(1+สมมติฐาน!$B$45)^(A70-1)</f>
        <v>0.0914042317508695</v>
      </c>
      <c r="V70" s="25" t="n">
        <f aca="false">S70*U70</f>
        <v>394105.697772096</v>
      </c>
    </row>
    <row r="71" customFormat="false" ht="15" hidden="false" customHeight="true" outlineLevel="0" collapsed="false">
      <c r="A71" s="6" t="s">
        <v>181</v>
      </c>
      <c r="G71" s="26" t="n">
        <f aca="false">SUM(G9:G70)</f>
        <v>28418286.2131624</v>
      </c>
      <c r="H71" s="26" t="n">
        <f aca="false">SUM(H9:H70)</f>
        <v>6676500.80576875</v>
      </c>
      <c r="I71" s="26" t="n">
        <f aca="false">SUM(I9:I70)</f>
        <v>1420914.31065812</v>
      </c>
      <c r="J71" s="26" t="n">
        <f aca="false">SUM(J9:J70)</f>
        <v>804725.383687636</v>
      </c>
      <c r="K71" s="26" t="n">
        <f aca="false">SUM(K9:K70)</f>
        <v>1229800.81703863</v>
      </c>
      <c r="L71" s="26" t="n">
        <f aca="false">SUM(L9:L70)</f>
        <v>1136731.44852649</v>
      </c>
      <c r="P71" s="26" t="n">
        <f aca="false">SUM(P9:P70)</f>
        <v>14429569.6988392</v>
      </c>
      <c r="Q71" s="26" t="n">
        <f aca="false">SUM(Q9:Q70)</f>
        <v>29012357.7063659</v>
      </c>
      <c r="R71" s="26" t="n">
        <f aca="false">SUM(R9:R70)</f>
        <v>3068614.75740408</v>
      </c>
      <c r="S71" s="26" t="n">
        <f aca="false">SUM(S9:S70)</f>
        <v>86197501.1414511</v>
      </c>
      <c r="T71" s="26" t="n">
        <f aca="false">SUM(T9:T70)</f>
        <v>44539036.9644437</v>
      </c>
      <c r="V71" s="26" t="n">
        <f aca="false">SUM(V9:V70)</f>
        <v>25746987.1089538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20"/>
    <col collapsed="false" customWidth="true" hidden="false" outlineLevel="0" max="5" min="5" style="1" width="74"/>
  </cols>
  <sheetData>
    <row r="1" customFormat="false" ht="15.75" hidden="false" customHeight="true" outlineLevel="0" collapsed="false">
      <c r="A1" s="2" t="s">
        <v>184</v>
      </c>
    </row>
    <row r="2" customFormat="false" ht="15" hidden="false" customHeight="true" outlineLevel="0" collapsed="false">
      <c r="A2" s="3" t="s">
        <v>185</v>
      </c>
    </row>
    <row r="4" customFormat="false" ht="15" hidden="false" customHeight="true" outlineLevel="0" collapsed="false">
      <c r="A4" s="27" t="s">
        <v>40</v>
      </c>
      <c r="B4" s="27" t="s">
        <v>41</v>
      </c>
      <c r="C4" s="27" t="s">
        <v>42</v>
      </c>
      <c r="D4" s="27" t="s">
        <v>43</v>
      </c>
      <c r="E4" s="27" t="s">
        <v>186</v>
      </c>
    </row>
    <row r="5" customFormat="false" ht="15" hidden="false" customHeight="true" outlineLevel="0" collapsed="false">
      <c r="A5" s="28" t="s">
        <v>187</v>
      </c>
      <c r="B5" s="10"/>
      <c r="C5" s="10"/>
      <c r="D5" s="10"/>
      <c r="E5" s="10"/>
    </row>
    <row r="6" customFormat="false" ht="15" hidden="false" customHeight="true" outlineLevel="0" collapsed="false">
      <c r="A6" s="7" t="s">
        <v>52</v>
      </c>
      <c r="B6" s="29" t="n">
        <f aca="false">สมมติฐาน!B7</f>
        <v>22</v>
      </c>
      <c r="C6" s="29" t="n">
        <f aca="false">สมมติฐาน!C7</f>
        <v>25</v>
      </c>
      <c r="D6" s="29" t="n">
        <f aca="false">สมมติฐาน!D7</f>
        <v>24</v>
      </c>
      <c r="E6" s="12"/>
    </row>
    <row r="7" customFormat="false" ht="15" hidden="false" customHeight="true" outlineLevel="0" collapsed="false">
      <c r="A7" s="7" t="s">
        <v>188</v>
      </c>
      <c r="B7" s="29" t="n">
        <f aca="false">สมมติฐาน!B10</f>
        <v>38</v>
      </c>
      <c r="C7" s="29" t="n">
        <f aca="false">สมมติฐาน!C10</f>
        <v>35</v>
      </c>
      <c r="D7" s="29" t="n">
        <f aca="false">สมมติฐาน!D10</f>
        <v>36</v>
      </c>
      <c r="E7" s="12"/>
    </row>
    <row r="8" customFormat="false" ht="15" hidden="false" customHeight="true" outlineLevel="0" collapsed="false">
      <c r="A8" s="7" t="s">
        <v>57</v>
      </c>
      <c r="B8" s="29" t="n">
        <f aca="false">สมมติฐาน!B9</f>
        <v>78</v>
      </c>
      <c r="C8" s="29" t="n">
        <f aca="false">สมมติฐาน!C9</f>
        <v>82</v>
      </c>
      <c r="D8" s="29" t="n">
        <f aca="false">สมมติฐาน!D9</f>
        <v>85</v>
      </c>
      <c r="E8" s="12"/>
    </row>
    <row r="9" customFormat="false" ht="15" hidden="false" customHeight="true" outlineLevel="0" collapsed="false">
      <c r="A9" s="7" t="s">
        <v>189</v>
      </c>
      <c r="B9" s="14" t="n">
        <f aca="false">สมมติฐาน!B14</f>
        <v>36000</v>
      </c>
      <c r="C9" s="14" t="n">
        <f aca="false">สมมติฐาน!C14</f>
        <v>52000</v>
      </c>
      <c r="D9" s="14" t="n">
        <f aca="false">สมมติฐาน!D14</f>
        <v>74000</v>
      </c>
      <c r="E9" s="12"/>
    </row>
    <row r="10" customFormat="false" ht="15" hidden="false" customHeight="true" outlineLevel="0" collapsed="false">
      <c r="A10" s="7" t="s">
        <v>190</v>
      </c>
      <c r="B10" s="30" t="n">
        <f aca="false">1_ต่ำ!$AB$4</f>
        <v>47973.1762735855</v>
      </c>
      <c r="C10" s="30" t="n">
        <f aca="false">2_กลาง!$AB$4</f>
        <v>64658.9769889621</v>
      </c>
      <c r="D10" s="30" t="n">
        <f aca="false">3_สูง!$AB$4</f>
        <v>92988.3259819419</v>
      </c>
      <c r="E10" s="12" t="s">
        <v>191</v>
      </c>
    </row>
    <row r="12" customFormat="false" ht="15" hidden="false" customHeight="true" outlineLevel="0" collapsed="false">
      <c r="A12" s="28" t="s">
        <v>192</v>
      </c>
      <c r="B12" s="10"/>
      <c r="C12" s="10"/>
      <c r="D12" s="10"/>
      <c r="E12" s="10"/>
    </row>
    <row r="13" customFormat="false" ht="15" hidden="false" customHeight="true" outlineLevel="0" collapsed="false">
      <c r="A13" s="7" t="s">
        <v>193</v>
      </c>
      <c r="B13" s="30" t="n">
        <f aca="false">SUM(1_ต่ำ!G9:G65)</f>
        <v>16625423.7027371</v>
      </c>
      <c r="C13" s="30" t="n">
        <f aca="false">SUM(2_กลาง!G9:G66)</f>
        <v>20564828.129212</v>
      </c>
      <c r="D13" s="30" t="n">
        <f aca="false">SUM(3_สูง!G9:G70)</f>
        <v>28418286.2131624</v>
      </c>
      <c r="E13" s="12" t="s">
        <v>194</v>
      </c>
    </row>
    <row r="14" customFormat="false" ht="15" hidden="false" customHeight="true" outlineLevel="0" collapsed="false">
      <c r="A14" s="7" t="s">
        <v>195</v>
      </c>
      <c r="B14" s="30" t="n">
        <f aca="false">SUM(1_ต่ำ!H9:H65)</f>
        <v>0</v>
      </c>
      <c r="C14" s="30" t="n">
        <f aca="false">SUM(2_กลาง!H9:H66)</f>
        <v>2471806.91749734</v>
      </c>
      <c r="D14" s="30" t="n">
        <f aca="false">SUM(3_สูง!H9:H70)</f>
        <v>6676500.80576875</v>
      </c>
      <c r="E14" s="12" t="s">
        <v>196</v>
      </c>
    </row>
    <row r="15" customFormat="false" ht="15" hidden="false" customHeight="true" outlineLevel="0" collapsed="false">
      <c r="A15" s="7" t="s">
        <v>197</v>
      </c>
      <c r="B15" s="30" t="n">
        <f aca="false">SUM(1_ต่ำ!I9:I65)</f>
        <v>831271.185136854</v>
      </c>
      <c r="C15" s="30" t="n">
        <f aca="false">SUM(2_กลาง!I9:I66)</f>
        <v>1028241.4064606</v>
      </c>
      <c r="D15" s="30" t="n">
        <f aca="false">SUM(3_สูง!I9:I70)</f>
        <v>1420914.31065812</v>
      </c>
      <c r="E15" s="12" t="s">
        <v>198</v>
      </c>
    </row>
    <row r="16" customFormat="false" ht="15" hidden="false" customHeight="true" outlineLevel="0" collapsed="false">
      <c r="A16" s="7" t="s">
        <v>199</v>
      </c>
      <c r="B16" s="30" t="n">
        <f aca="false">SUM(1_ต่ำ!J9:J65)</f>
        <v>0</v>
      </c>
      <c r="C16" s="30" t="n">
        <f aca="false">SUM(2_กลาง!J9:J66)</f>
        <v>525586.607987417</v>
      </c>
      <c r="D16" s="30" t="n">
        <f aca="false">SUM(3_สูง!J9:J70)</f>
        <v>804725.383687636</v>
      </c>
      <c r="E16" s="12"/>
    </row>
    <row r="17" customFormat="false" ht="15" hidden="false" customHeight="true" outlineLevel="0" collapsed="false">
      <c r="A17" s="7" t="s">
        <v>200</v>
      </c>
      <c r="B17" s="30" t="n">
        <f aca="false">SUM(1_ต่ำ!K9:K65)</f>
        <v>248006.808511749</v>
      </c>
      <c r="C17" s="30" t="n">
        <f aca="false">SUM(2_กลาง!K9:K66)</f>
        <v>1229800.81703863</v>
      </c>
      <c r="D17" s="30" t="n">
        <f aca="false">SUM(3_สูง!K9:K70)</f>
        <v>1229800.81703863</v>
      </c>
      <c r="E17" s="12"/>
    </row>
    <row r="18" customFormat="false" ht="15" hidden="false" customHeight="true" outlineLevel="0" collapsed="false">
      <c r="A18" s="7" t="s">
        <v>201</v>
      </c>
      <c r="B18" s="30" t="n">
        <f aca="false">SUM(1_ต่ำ!L9:L65)</f>
        <v>498762.711082112</v>
      </c>
      <c r="C18" s="30" t="n">
        <f aca="false">SUM(2_กลาง!L9:L66)</f>
        <v>616944.843876361</v>
      </c>
      <c r="D18" s="30" t="n">
        <f aca="false">SUM(3_สูง!L9:L70)</f>
        <v>1136731.44852649</v>
      </c>
      <c r="E18" s="12" t="s">
        <v>202</v>
      </c>
    </row>
    <row r="19" customFormat="false" ht="15" hidden="false" customHeight="true" outlineLevel="0" collapsed="false">
      <c r="A19" s="7" t="s">
        <v>203</v>
      </c>
      <c r="B19" s="30" t="n">
        <f aca="false">SUMIF(1_ต่ำ!D9:D65,"รับราชการ",1_ต่ำ!P9:P65)</f>
        <v>1783099.8474273</v>
      </c>
      <c r="C19" s="30" t="n">
        <f aca="false">SUMIF(2_กลาง!D9:D66,"รับราชการ",2_กลาง!P9:P66)</f>
        <v>3539586.9204314</v>
      </c>
      <c r="D19" s="30" t="n">
        <f aca="false">SUMIF(3_สูง!D9:D70,"รับราชการ",3_สูง!P9:P70)</f>
        <v>4045425.51949627</v>
      </c>
      <c r="E19" s="3" t="s">
        <v>204</v>
      </c>
    </row>
    <row r="20" customFormat="false" ht="15" hidden="false" customHeight="true" outlineLevel="0" collapsed="false">
      <c r="A20" s="6" t="s">
        <v>205</v>
      </c>
      <c r="B20" s="26" t="n">
        <f aca="false">SUM(B13:B19)</f>
        <v>19986564.2548951</v>
      </c>
      <c r="C20" s="26" t="n">
        <f aca="false">SUM(C13:C19)</f>
        <v>29976795.6425038</v>
      </c>
      <c r="D20" s="26" t="n">
        <f aca="false">SUM(D13:D19)</f>
        <v>43732384.4983383</v>
      </c>
    </row>
    <row r="22" customFormat="false" ht="15" hidden="false" customHeight="true" outlineLevel="0" collapsed="false">
      <c r="A22" s="28" t="s">
        <v>206</v>
      </c>
      <c r="B22" s="10"/>
      <c r="C22" s="10"/>
      <c r="D22" s="10"/>
      <c r="E22" s="10"/>
    </row>
    <row r="23" customFormat="false" ht="15" hidden="false" customHeight="true" outlineLevel="0" collapsed="false">
      <c r="A23" s="7" t="s">
        <v>207</v>
      </c>
      <c r="B23" s="30" t="n">
        <f aca="false">SUM(1_ต่ำ!Q47:Q65)</f>
        <v>10937884.1903775</v>
      </c>
      <c r="C23" s="30" t="n">
        <f aca="false">SUM(2_กลาง!Q44:Q66)</f>
        <v>17845877.6489535</v>
      </c>
      <c r="D23" s="30" t="n">
        <f aca="false">SUM(3_สูง!Q45:Q70)</f>
        <v>29012357.7063659</v>
      </c>
      <c r="E23" s="12" t="s">
        <v>208</v>
      </c>
    </row>
    <row r="24" customFormat="false" ht="15" hidden="false" customHeight="true" outlineLevel="0" collapsed="false">
      <c r="A24" s="7" t="s">
        <v>209</v>
      </c>
      <c r="B24" s="30" t="n">
        <f aca="false">SUM(1_ต่ำ!R47:R65)</f>
        <v>1583114.81702832</v>
      </c>
      <c r="C24" s="30" t="n">
        <f aca="false">SUM(2_กลาง!R44:R66)</f>
        <v>2133746.24063575</v>
      </c>
      <c r="D24" s="30" t="n">
        <f aca="false">SUM(3_สูง!R45:R70)</f>
        <v>3068614.75740408</v>
      </c>
      <c r="E24" s="12" t="s">
        <v>210</v>
      </c>
    </row>
    <row r="25" customFormat="false" ht="15" hidden="false" customHeight="true" outlineLevel="0" collapsed="false">
      <c r="A25" s="7" t="s">
        <v>211</v>
      </c>
      <c r="B25" s="30" t="n">
        <f aca="false">SUMIF(1_ต่ำ!D9:D65,"รับบำนาญ",1_ต่ำ!P9:P65)</f>
        <v>3128096.86553813</v>
      </c>
      <c r="C25" s="30" t="n">
        <f aca="false">SUMIF(2_กลาง!D9:D66,"รับบำนาญ",2_กลาง!P9:P66)</f>
        <v>7358649.01822843</v>
      </c>
      <c r="D25" s="30" t="n">
        <f aca="false">SUMIF(3_สูง!D9:D70,"รับบำนาญ",3_สูง!P9:P70)</f>
        <v>10384144.1793429</v>
      </c>
      <c r="E25" s="12" t="s">
        <v>212</v>
      </c>
    </row>
    <row r="26" customFormat="false" ht="15" hidden="false" customHeight="true" outlineLevel="0" collapsed="false">
      <c r="A26" s="6" t="s">
        <v>213</v>
      </c>
      <c r="B26" s="26" t="n">
        <f aca="false">SUM(B23:B25)</f>
        <v>15649095.8729439</v>
      </c>
      <c r="C26" s="26" t="n">
        <f aca="false">SUM(C23:C25)</f>
        <v>27338272.9078177</v>
      </c>
      <c r="D26" s="26" t="n">
        <f aca="false">SUM(D23:D25)</f>
        <v>42465116.6431128</v>
      </c>
    </row>
    <row r="28" customFormat="false" ht="15" hidden="false" customHeight="true" outlineLevel="0" collapsed="false">
      <c r="A28" s="28" t="s">
        <v>214</v>
      </c>
      <c r="B28" s="10"/>
      <c r="C28" s="10"/>
      <c r="D28" s="10"/>
      <c r="E28" s="10"/>
    </row>
    <row r="29" customFormat="false" ht="15" hidden="false" customHeight="true" outlineLevel="0" collapsed="false">
      <c r="A29" s="6" t="s">
        <v>215</v>
      </c>
      <c r="B29" s="31" t="n">
        <f aca="false">1_ต่ำ!S66</f>
        <v>35635660.127839</v>
      </c>
      <c r="C29" s="31" t="n">
        <f aca="false">2_กลาง!S67</f>
        <v>57315068.5503215</v>
      </c>
      <c r="D29" s="31" t="n">
        <f aca="false">3_สูง!S71</f>
        <v>86197501.1414511</v>
      </c>
      <c r="E29" s="12" t="s">
        <v>216</v>
      </c>
    </row>
    <row r="30" customFormat="false" ht="15" hidden="false" customHeight="true" outlineLevel="0" collapsed="false">
      <c r="A30" s="6" t="s">
        <v>217</v>
      </c>
      <c r="B30" s="31" t="n">
        <f aca="false">1_ต่ำ!T66</f>
        <v>19064876.9964543</v>
      </c>
      <c r="C30" s="31" t="n">
        <f aca="false">2_กลาง!T67</f>
        <v>31107527.0592722</v>
      </c>
      <c r="D30" s="31" t="n">
        <f aca="false">3_สูง!T71</f>
        <v>44539036.9644437</v>
      </c>
      <c r="E30" s="3" t="s">
        <v>218</v>
      </c>
    </row>
    <row r="31" customFormat="false" ht="15" hidden="false" customHeight="true" outlineLevel="0" collapsed="false">
      <c r="A31" s="6" t="s">
        <v>219</v>
      </c>
      <c r="B31" s="31" t="n">
        <f aca="false">1_ต่ำ!V66</f>
        <v>11293360.4333601</v>
      </c>
      <c r="C31" s="31" t="n">
        <f aca="false">2_กลาง!V67</f>
        <v>18741741.2324393</v>
      </c>
      <c r="D31" s="31" t="n">
        <f aca="false">3_สูง!V71</f>
        <v>25746987.1089538</v>
      </c>
      <c r="E31" s="12" t="s">
        <v>220</v>
      </c>
    </row>
    <row r="33" customFormat="false" ht="15" hidden="false" customHeight="true" outlineLevel="0" collapsed="false">
      <c r="A33" s="28" t="s">
        <v>221</v>
      </c>
      <c r="B33" s="10"/>
      <c r="C33" s="10"/>
      <c r="D33" s="10"/>
      <c r="E33" s="10"/>
    </row>
    <row r="34" customFormat="false" ht="15" hidden="false" customHeight="true" outlineLevel="0" collapsed="false">
      <c r="A34" s="7" t="s">
        <v>222</v>
      </c>
      <c r="B34" s="13" t="n">
        <v>40000000</v>
      </c>
      <c r="C34" s="13" t="n">
        <v>40000000</v>
      </c>
      <c r="D34" s="13" t="n">
        <v>40000000</v>
      </c>
      <c r="E34" s="3" t="s">
        <v>223</v>
      </c>
    </row>
    <row r="35" customFormat="false" ht="15" hidden="false" customHeight="true" outlineLevel="0" collapsed="false">
      <c r="A35" s="7" t="s">
        <v>224</v>
      </c>
      <c r="B35" s="14" t="n">
        <f aca="false">B29-B34</f>
        <v>-4364339.87216098</v>
      </c>
      <c r="C35" s="14" t="n">
        <f aca="false">C29-C34</f>
        <v>17315068.5503215</v>
      </c>
      <c r="D35" s="14" t="n">
        <f aca="false">D29-D34</f>
        <v>46197501.1414511</v>
      </c>
    </row>
    <row r="36" customFormat="false" ht="15" hidden="false" customHeight="true" outlineLevel="0" collapsed="false">
      <c r="A36" s="7" t="s">
        <v>225</v>
      </c>
      <c r="B36" s="14" t="n">
        <f aca="false">B30-B34</f>
        <v>-20935123.0035458</v>
      </c>
      <c r="C36" s="14" t="n">
        <f aca="false">C30-C34</f>
        <v>-8892472.94072781</v>
      </c>
      <c r="D36" s="14" t="n">
        <f aca="false">D30-D34</f>
        <v>4539036.96444366</v>
      </c>
    </row>
    <row r="37" customFormat="false" ht="15" hidden="false" customHeight="true" outlineLevel="0" collapsed="false">
      <c r="A37" s="7" t="s">
        <v>226</v>
      </c>
      <c r="B37" s="14" t="n">
        <f aca="false">B31-B34</f>
        <v>-28706639.5666399</v>
      </c>
      <c r="C37" s="14" t="n">
        <f aca="false">C31-C34</f>
        <v>-21258258.7675607</v>
      </c>
      <c r="D37" s="14" t="n">
        <f aca="false">D31-D34</f>
        <v>-14253012.8910462</v>
      </c>
    </row>
    <row r="38" customFormat="false" ht="15" hidden="false" customHeight="true" outlineLevel="0" collapsed="false">
      <c r="A38" s="32" t="s">
        <v>227</v>
      </c>
      <c r="B38" s="27" t="s">
        <v>228</v>
      </c>
      <c r="C38" s="27" t="s">
        <v>229</v>
      </c>
      <c r="D38" s="27" t="s">
        <v>230</v>
      </c>
      <c r="E38" s="27"/>
    </row>
    <row r="39" customFormat="false" ht="15" hidden="false" customHeight="true" outlineLevel="0" collapsed="false">
      <c r="A39" s="6" t="s">
        <v>231</v>
      </c>
      <c r="B39" s="33" t="n">
        <f aca="false">B29*0.2+C29*0.6+D29*0.2</f>
        <v>58755673.3840509</v>
      </c>
      <c r="C39" s="33" t="n">
        <f aca="false">B30*0.2+C30*0.6+D30*0.2</f>
        <v>31385299.0277429</v>
      </c>
      <c r="D39" s="33" t="n">
        <f aca="false">B31*0.2+C31*0.6+D31*0.2</f>
        <v>18653114.2479264</v>
      </c>
      <c r="E39" s="12" t="s">
        <v>232</v>
      </c>
    </row>
    <row r="41" customFormat="false" ht="15" hidden="false" customHeight="true" outlineLevel="0" collapsed="false">
      <c r="A41" s="28" t="s">
        <v>233</v>
      </c>
      <c r="B41" s="10"/>
      <c r="C41" s="10"/>
      <c r="D41" s="10"/>
      <c r="E41" s="10"/>
    </row>
    <row r="42" customFormat="false" ht="15" hidden="false" customHeight="true" outlineLevel="0" collapsed="false">
      <c r="A42" s="7" t="s">
        <v>234</v>
      </c>
      <c r="B42" s="30" t="n">
        <f aca="false">สมมติฐาน!$B$57*1000000/สมมติฐาน!$B$58</f>
        <v>21200</v>
      </c>
      <c r="E42" s="12" t="s">
        <v>235</v>
      </c>
    </row>
    <row r="43" customFormat="false" ht="15" hidden="false" customHeight="true" outlineLevel="0" collapsed="false">
      <c r="A43" s="7" t="s">
        <v>236</v>
      </c>
      <c r="B43" s="30" t="n">
        <f aca="false">SUMPRODUCT(1_ต่ำ!P9:P65/1_ต่ำ!O9:O65)/SUM(1_ต่ำ!M9:M65,1_ต่ำ!N9:N65)</f>
        <v>14835.0515463918</v>
      </c>
      <c r="C43" s="30" t="n">
        <f aca="false">SUMPRODUCT(2_กลาง!P9:P66/2_กลาง!O9:O66)/SUM(2_กลาง!M9:M66,2_กลาง!N9:N66)</f>
        <v>15650</v>
      </c>
      <c r="D43" s="30" t="n">
        <f aca="false">SUMPRODUCT(3_สูง!P9:P70/3_สูง!O9:O70)/SUM(3_สูง!M9:M70,3_สูง!N9:N70)</f>
        <v>17769.2307692308</v>
      </c>
      <c r="E43" s="12" t="s">
        <v>237</v>
      </c>
    </row>
    <row r="45" customFormat="false" ht="15" hidden="false" customHeight="true" outlineLevel="0" collapsed="false">
      <c r="A45" s="28" t="s">
        <v>238</v>
      </c>
      <c r="B45" s="10"/>
      <c r="C45" s="10"/>
      <c r="D45" s="10"/>
      <c r="E45" s="10"/>
    </row>
    <row r="46" customFormat="false" ht="15" hidden="false" customHeight="true" outlineLevel="0" collapsed="false">
      <c r="A46" s="7" t="s">
        <v>239</v>
      </c>
      <c r="B46" s="34" t="n">
        <f aca="false">(B39)*สมมติฐาน!$B$55/1000000000000</f>
        <v>99.8846447528866</v>
      </c>
      <c r="C46" s="34" t="n">
        <f aca="false">(C39)*สมมติฐาน!$B$55/1000000000000</f>
        <v>53.3550083471629</v>
      </c>
      <c r="D46" s="34" t="n">
        <f aca="false">(D39)*สมมติฐาน!$B$55/1000000000000</f>
        <v>31.7102942214748</v>
      </c>
      <c r="E46" s="12" t="s">
        <v>240</v>
      </c>
    </row>
    <row r="47" customFormat="false" ht="15" hidden="false" customHeight="true" outlineLevel="0" collapsed="false">
      <c r="A47" s="7" t="s">
        <v>241</v>
      </c>
      <c r="B47" s="35" t="n">
        <f aca="false">B46*1000000/สมมติฐาน!$B$56</f>
        <v>26.4203154930134</v>
      </c>
      <c r="C47" s="35" t="n">
        <f aca="false">C46*1000000/สมมติฐาน!$B$56</f>
        <v>14.1128414397617</v>
      </c>
      <c r="D47" s="35" t="n">
        <f aca="false">D46*1000000/สมมติฐาน!$B$56</f>
        <v>8.38763535456668</v>
      </c>
      <c r="E47" s="3" t="s">
        <v>242</v>
      </c>
    </row>
    <row r="48" customFormat="false" ht="21.75" hidden="false" customHeight="true" outlineLevel="0" collapsed="false">
      <c r="A48" s="7" t="s">
        <v>243</v>
      </c>
      <c r="B48" s="34" t="n">
        <f aca="false">B46/60</f>
        <v>1.66474407921478</v>
      </c>
      <c r="C48" s="34" t="n">
        <f aca="false">C46/60</f>
        <v>0.889250139119382</v>
      </c>
      <c r="D48" s="34" t="n">
        <f aca="false">D46/60</f>
        <v>0.528504903691247</v>
      </c>
      <c r="E48" s="12" t="s">
        <v>244</v>
      </c>
    </row>
    <row r="50" customFormat="false" ht="15" hidden="false" customHeight="true" outlineLevel="0" collapsed="false">
      <c r="A50" s="28" t="s">
        <v>245</v>
      </c>
      <c r="B50" s="10"/>
      <c r="C50" s="10"/>
      <c r="D50" s="10"/>
      <c r="E50" s="10"/>
    </row>
    <row r="51" customFormat="false" ht="15" hidden="false" customHeight="true" outlineLevel="0" collapsed="false">
      <c r="A51" s="3" t="s">
        <v>246</v>
      </c>
    </row>
    <row r="52" customFormat="false" ht="15" hidden="false" customHeight="true" outlineLevel="0" collapsed="false">
      <c r="A52" s="36" t="s">
        <v>247</v>
      </c>
      <c r="B52" s="36" t="s">
        <v>228</v>
      </c>
      <c r="C52" s="36" t="s">
        <v>229</v>
      </c>
      <c r="D52" s="36" t="s">
        <v>230</v>
      </c>
    </row>
    <row r="53" customFormat="false" ht="15" hidden="false" customHeight="true" outlineLevel="0" collapsed="false">
      <c r="A53" s="37" t="n">
        <v>0</v>
      </c>
      <c r="B53" s="14" t="n">
        <v>34087949</v>
      </c>
      <c r="C53" s="14" t="n">
        <v>34087949</v>
      </c>
      <c r="D53" s="14" t="n">
        <v>12411381</v>
      </c>
    </row>
    <row r="54" customFormat="false" ht="15" hidden="false" customHeight="true" outlineLevel="0" collapsed="false">
      <c r="A54" s="37" t="n">
        <v>0.01</v>
      </c>
      <c r="B54" s="14" t="n">
        <v>44512612</v>
      </c>
      <c r="C54" s="14" t="n">
        <v>32624346</v>
      </c>
      <c r="D54" s="14" t="n">
        <v>15120851</v>
      </c>
    </row>
    <row r="55" customFormat="false" ht="15" hidden="false" customHeight="true" outlineLevel="0" collapsed="false">
      <c r="A55" s="38" t="n">
        <v>0.02</v>
      </c>
      <c r="B55" s="39" t="n">
        <v>58755673</v>
      </c>
      <c r="C55" s="39" t="n">
        <v>31385299</v>
      </c>
      <c r="D55" s="39" t="n">
        <v>18653114</v>
      </c>
    </row>
    <row r="56" customFormat="false" ht="15" hidden="false" customHeight="true" outlineLevel="0" collapsed="false">
      <c r="A56" s="37" t="n">
        <v>0.03</v>
      </c>
      <c r="B56" s="14" t="n">
        <v>78355043</v>
      </c>
      <c r="C56" s="14" t="n">
        <v>30342443</v>
      </c>
      <c r="D56" s="14" t="n">
        <v>23300396</v>
      </c>
    </row>
    <row r="57" customFormat="false" ht="15" hidden="false" customHeight="true" outlineLevel="0" collapsed="false">
      <c r="A57" s="3" t="s">
        <v>248</v>
      </c>
    </row>
    <row r="59" customFormat="false" ht="15" hidden="false" customHeight="true" outlineLevel="0" collapsed="false">
      <c r="A59" s="6" t="s">
        <v>249</v>
      </c>
    </row>
    <row r="60" customFormat="false" ht="12" hidden="false" customHeight="true" outlineLevel="0" collapsed="false">
      <c r="A60" s="4" t="s">
        <v>250</v>
      </c>
      <c r="B60" s="4"/>
      <c r="C60" s="4"/>
      <c r="D60" s="4"/>
      <c r="E60" s="4"/>
    </row>
    <row r="61" customFormat="false" ht="12" hidden="false" customHeight="true" outlineLevel="0" collapsed="false">
      <c r="A61" s="4" t="s">
        <v>251</v>
      </c>
      <c r="B61" s="4"/>
      <c r="C61" s="4"/>
      <c r="D61" s="4"/>
      <c r="E61" s="4"/>
    </row>
    <row r="62" customFormat="false" ht="12" hidden="false" customHeight="true" outlineLevel="0" collapsed="false">
      <c r="A62" s="4" t="s">
        <v>252</v>
      </c>
      <c r="B62" s="4"/>
      <c r="C62" s="4"/>
      <c r="D62" s="4"/>
      <c r="E62" s="4"/>
    </row>
    <row r="63" customFormat="false" ht="12" hidden="false" customHeight="true" outlineLevel="0" collapsed="false">
      <c r="A63" s="4" t="s">
        <v>253</v>
      </c>
      <c r="B63" s="4"/>
      <c r="C63" s="4"/>
      <c r="D63" s="4"/>
      <c r="E63" s="4"/>
    </row>
    <row r="64" customFormat="false" ht="12" hidden="false" customHeight="true" outlineLevel="0" collapsed="false">
      <c r="A64" s="4" t="s">
        <v>254</v>
      </c>
      <c r="B64" s="4"/>
      <c r="C64" s="4"/>
      <c r="D64" s="4"/>
      <c r="E64" s="4"/>
    </row>
    <row r="65" customFormat="false" ht="12" hidden="false" customHeight="true" outlineLevel="0" collapsed="false">
      <c r="A65" s="4" t="s">
        <v>255</v>
      </c>
      <c r="B65" s="4"/>
      <c r="C65" s="4"/>
      <c r="D65" s="4"/>
      <c r="E65" s="4"/>
    </row>
  </sheetData>
  <mergeCells count="6">
    <mergeCell ref="A60:E60"/>
    <mergeCell ref="A61:E61"/>
    <mergeCell ref="A62:E62"/>
    <mergeCell ref="A63:E6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62"/>
    <col collapsed="false" customWidth="true" hidden="false" outlineLevel="0" max="3" min="3" style="1" width="52"/>
    <col collapsed="false" customWidth="true" hidden="false" outlineLevel="0" max="4" min="4" style="1" width="48"/>
  </cols>
  <sheetData>
    <row r="1" customFormat="false" ht="15.75" hidden="false" customHeight="true" outlineLevel="0" collapsed="false">
      <c r="A1" s="2" t="s">
        <v>17</v>
      </c>
    </row>
    <row r="3" customFormat="false" ht="15" hidden="false" customHeight="true" outlineLevel="0" collapsed="false">
      <c r="A3" s="36" t="s">
        <v>256</v>
      </c>
      <c r="B3" s="36" t="s">
        <v>257</v>
      </c>
      <c r="C3" s="36" t="s">
        <v>258</v>
      </c>
      <c r="D3" s="36" t="s">
        <v>259</v>
      </c>
    </row>
    <row r="4" customFormat="false" ht="23.25" hidden="false" customHeight="true" outlineLevel="0" collapsed="false">
      <c r="A4" s="40" t="s">
        <v>260</v>
      </c>
      <c r="B4" s="40" t="s">
        <v>261</v>
      </c>
      <c r="C4" s="40" t="s">
        <v>262</v>
      </c>
      <c r="D4" s="41" t="s">
        <v>263</v>
      </c>
    </row>
    <row r="5" customFormat="false" ht="23.25" hidden="false" customHeight="true" outlineLevel="0" collapsed="false">
      <c r="A5" s="40" t="s">
        <v>264</v>
      </c>
      <c r="B5" s="40" t="s">
        <v>265</v>
      </c>
      <c r="C5" s="40" t="s">
        <v>266</v>
      </c>
      <c r="D5" s="41" t="s">
        <v>267</v>
      </c>
    </row>
    <row r="6" customFormat="false" ht="15" hidden="false" customHeight="true" outlineLevel="0" collapsed="false">
      <c r="A6" s="40" t="s">
        <v>268</v>
      </c>
      <c r="B6" s="40" t="s">
        <v>269</v>
      </c>
      <c r="C6" s="40" t="s">
        <v>270</v>
      </c>
      <c r="D6" s="41" t="s">
        <v>271</v>
      </c>
    </row>
    <row r="7" customFormat="false" ht="23.25" hidden="false" customHeight="true" outlineLevel="0" collapsed="false">
      <c r="A7" s="40" t="s">
        <v>272</v>
      </c>
      <c r="B7" s="40" t="s">
        <v>273</v>
      </c>
      <c r="C7" s="40" t="s">
        <v>274</v>
      </c>
      <c r="D7" s="41" t="s">
        <v>275</v>
      </c>
    </row>
    <row r="8" customFormat="false" ht="15" hidden="false" customHeight="true" outlineLevel="0" collapsed="false">
      <c r="A8" s="40" t="s">
        <v>276</v>
      </c>
      <c r="B8" s="40" t="s">
        <v>277</v>
      </c>
      <c r="C8" s="40" t="s">
        <v>278</v>
      </c>
      <c r="D8" s="41" t="s">
        <v>279</v>
      </c>
    </row>
    <row r="9" customFormat="false" ht="15" hidden="false" customHeight="true" outlineLevel="0" collapsed="false">
      <c r="A9" s="40" t="s">
        <v>280</v>
      </c>
      <c r="B9" s="40" t="s">
        <v>281</v>
      </c>
      <c r="C9" s="40" t="s">
        <v>282</v>
      </c>
      <c r="D9" s="41" t="s">
        <v>275</v>
      </c>
    </row>
    <row r="10" customFormat="false" ht="15" hidden="false" customHeight="true" outlineLevel="0" collapsed="false">
      <c r="A10" s="40" t="s">
        <v>283</v>
      </c>
      <c r="B10" s="40" t="s">
        <v>284</v>
      </c>
      <c r="C10" s="40" t="s">
        <v>285</v>
      </c>
      <c r="D10" s="41" t="s">
        <v>286</v>
      </c>
    </row>
    <row r="11" customFormat="false" ht="23.25" hidden="false" customHeight="true" outlineLevel="0" collapsed="false">
      <c r="A11" s="40" t="s">
        <v>287</v>
      </c>
      <c r="B11" s="40" t="s">
        <v>288</v>
      </c>
      <c r="C11" s="40" t="s">
        <v>289</v>
      </c>
      <c r="D11" s="41" t="s">
        <v>286</v>
      </c>
    </row>
    <row r="12" customFormat="false" ht="15" hidden="false" customHeight="true" outlineLevel="0" collapsed="false">
      <c r="A12" s="40" t="s">
        <v>290</v>
      </c>
      <c r="B12" s="40" t="s">
        <v>291</v>
      </c>
      <c r="C12" s="40" t="s">
        <v>125</v>
      </c>
      <c r="D12" s="41" t="s">
        <v>292</v>
      </c>
    </row>
    <row r="13" customFormat="false" ht="23.25" hidden="false" customHeight="true" outlineLevel="0" collapsed="false">
      <c r="A13" s="40" t="s">
        <v>293</v>
      </c>
      <c r="B13" s="40" t="s">
        <v>294</v>
      </c>
      <c r="C13" s="40" t="s">
        <v>295</v>
      </c>
      <c r="D13" s="41" t="s">
        <v>292</v>
      </c>
    </row>
    <row r="14" customFormat="false" ht="15" hidden="false" customHeight="true" outlineLevel="0" collapsed="false">
      <c r="A14" s="40" t="s">
        <v>296</v>
      </c>
      <c r="B14" s="40" t="s">
        <v>297</v>
      </c>
      <c r="C14" s="40" t="s">
        <v>298</v>
      </c>
      <c r="D14" s="41" t="s">
        <v>299</v>
      </c>
    </row>
    <row r="15" customFormat="false" ht="15" hidden="false" customHeight="true" outlineLevel="0" collapsed="false">
      <c r="A15" s="40" t="s">
        <v>300</v>
      </c>
      <c r="B15" s="40" t="s">
        <v>301</v>
      </c>
      <c r="C15" s="40" t="s">
        <v>302</v>
      </c>
      <c r="D15" s="41" t="s">
        <v>303</v>
      </c>
    </row>
    <row r="16" customFormat="false" ht="15" hidden="false" customHeight="true" outlineLevel="0" collapsed="false">
      <c r="A16" s="40" t="s">
        <v>304</v>
      </c>
      <c r="B16" s="40" t="s">
        <v>305</v>
      </c>
      <c r="C16" s="40" t="s">
        <v>306</v>
      </c>
      <c r="D16" s="40"/>
    </row>
  </sheetData>
  <hyperlinks>
    <hyperlink ref="D4" r:id="rId1" display="https://www.prachachat.net/politics/news-2062371"/>
    <hyperlink ref="D5" r:id="rId2" display="https://web.parliament.go.th/assets/portals/82/news/1713/1_1713.pdf"/>
    <hyperlink ref="D6" r:id="rId3" display="https://www.prd.go.th/th/content/category/detail/id/39/iid/390710"/>
    <hyperlink ref="D7" r:id="rId4" display="https://themomentum.co/feature-civil-medical-welfare/"/>
    <hyperlink ref="D8" r:id="rId5" display="https://www.hfocus.org/content/2026/08/39274"/>
    <hyperlink ref="D9" r:id="rId6" display="https://themomentum.co/feature-civil-medical-welfare/"/>
    <hyperlink ref="D10" r:id="rId7" display="https://www.ocsc.go.th"/>
    <hyperlink ref="D11" r:id="rId8" display="https://www.ocsc.go.th"/>
    <hyperlink ref="D12" r:id="rId9" display="https://www.cgd.go.th"/>
    <hyperlink ref="D13" r:id="rId10" display="https://www.cgd.go.th"/>
    <hyperlink ref="D14" r:id="rId11" display="https://newperson.doae.go.th/wp-content/uploads/2025/10/formula04.pdf"/>
    <hyperlink ref="D15" r:id="rId12" display="https://www.gpf.or.t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2026-09-06T00:10:02Z</dcterms:created>
  <dc:creator>openpyxl</dc:creator>
  <dc:description/>
  <dc:language>en-US</dc:language>
  <cp:lastModifiedBy/>
  <dcterms:modified xsi:type="dcterms:W3CDTF">2026-09-06T00:11:18Z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