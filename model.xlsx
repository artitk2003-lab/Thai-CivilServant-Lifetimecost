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อ่านก่อน" sheetId="1" state="visible" r:id="rId3"/>
    <sheet name="สมมติฐาน" sheetId="2" state="visible" r:id="rId4"/>
    <sheet name="1_ชั้นผู้น้อย" sheetId="3" state="visible" r:id="rId5"/>
    <sheet name="2_ระดับกลาง" sheetId="4" state="visible" r:id="rId6"/>
    <sheet name="3_ระดับสูง" sheetId="5" state="visible" r:id="rId7"/>
    <sheet name="สรุป" sheetId="6" state="visible" r:id="rId8"/>
    <sheet name="แหล่งอ้างอิง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<sst xmlns="http://schemas.openxmlformats.org/spreadsheetml/2006/main" count="455" uniqueCount="346">
  <si>
    <t xml:space="preserve">ต้นทุนที่รัฐจ่ายให้ข้าราชการ 1 คน ตลอดชีวิต — แบบจำลองเปิดสูตร</t>
  </si>
  <si>
    <t xml:space="preserve">สร้างเพื่อตรวจสอบข้ออ้าง “ข้าราชการ 1 คน รัฐจ่ายประมาณ 40 ล้านบาท” (เวทีเสวนา 4 ก.ย. 2569)</t>
  </si>
  <si>
    <t xml:space="preserve">ข้อควรรู้ก่อนอื่น: ตัวเลข 40 ล้านที่เป็นข่าว ไม่มีการเผยแพร่วิธีคำนวณ</t>
  </si>
  <si>
    <t xml:space="preserve">แหล่งข่าวระบุเพียงนิยามของก้อนเงิน — “ตั้งแต่วันแรกที่บรรจุ จนเกษียณ ได้บำนาญ ได้สวัสดิการ จนกระทั่งเสียชีวิต”</t>
  </si>
  <si>
    <t xml:space="preserve">ไม่ได้บอกตำแหน่ง ระดับ อายุราชการ อัตราเงินเฟ้อ หรือวิธีคิดมูลค่าเงิน</t>
  </si>
  <si>
    <t xml:space="preserve">แฟ้มนี้จึงเป็นการ “สร้างวิธีคำนวณขึ้นใหม่” จากกฎหมายและอัตราจริงที่ตรวจสอบได้ ไม่ใช่การถอดสูตรของผู้พูด</t>
  </si>
  <si>
    <t xml:space="preserve">โครงสร้างแฟ้ม</t>
  </si>
  <si>
    <t xml:space="preserve">สมมติฐาน</t>
  </si>
  <si>
    <t xml:space="preserve">ค่าตั้งต้นทั้งหมด แยก 3 กรณี — แก้ได้ที่ช่องพื้นเหลืองเท่านั้น</t>
  </si>
  <si>
    <t xml:space="preserve">1_ชั้นผู้น้อย</t>
  </si>
  <si>
    <t xml:space="preserve">ประเภททั่วไป บรรจุอายุ 22 (ปวส.) เกษียณระดับชำนาญงาน เสียชีวิตอายุ 78</t>
  </si>
  <si>
    <t xml:space="preserve">2_ระดับกลาง</t>
  </si>
  <si>
    <t xml:space="preserve">ประเภทวิชาการ บรรจุอายุ 25 (ป.ตรี) เกษียณระดับชำนาญการพิเศษ เสียชีวิตอายุ 82</t>
  </si>
  <si>
    <t xml:space="preserve">3_ระดับสูง</t>
  </si>
  <si>
    <t xml:space="preserve">เทียบซี 9–10 บรรจุอายุ 24 (ป.โท) เกษียณเชี่ยวชาญ/อำนวยการสูง เสียชีวิตอายุ 85</t>
  </si>
  <si>
    <t xml:space="preserve">สรุป</t>
  </si>
  <si>
    <t xml:space="preserve">เปรียบเทียบ 3 กรณี + แยกค่ารักษาพยาบาลตามผู้ใช้สิทธิ + กระทบยอดกับ 40 ล้าน + ความไวต่อเงินเฟ้อ</t>
  </si>
  <si>
    <t xml:space="preserve">แหล่งอ้างอิง</t>
  </si>
  <si>
    <t xml:space="preserve">ที่มาของทุกอัตราที่ใช้ พร้อมลิงก์</t>
  </si>
  <si>
    <t xml:space="preserve">สีของตัวเลข</t>
  </si>
  <si>
    <t xml:space="preserve">พื้นเหลือง + ตัวฟ้า</t>
  </si>
  <si>
    <t xml:space="preserve">ค่าที่กรอกเอง (input) — แก้ได้</t>
  </si>
  <si>
    <t xml:space="preserve">ตัวดำ</t>
  </si>
  <si>
    <t xml:space="preserve">สูตรคำนวณภายในแผ่นเดียวกัน</t>
  </si>
  <si>
    <t xml:space="preserve">ตัวเขียว</t>
  </si>
  <si>
    <t xml:space="preserve">สูตรที่ดึงค่ามาจากแผ่นอื่น</t>
  </si>
  <si>
    <t xml:space="preserve">อ่านผลลัพธ์อย่างไรไม่ให้เข้าใจผิด</t>
  </si>
  <si>
    <t xml:space="preserve">1</t>
  </si>
  <si>
    <t xml:space="preserve">ตัวเลขนี้คือผลรวมเงินสดสะสม 55–62 ปี ไม่ใช่รายจ่ายต่อปี — เอาไปเทียบกับงบประมาณปีเดียวไม่ได้</t>
  </si>
  <si>
    <t xml:space="preserve">2</t>
  </si>
  <si>
    <t xml:space="preserve">แผ่นคำนวณให้ 3 คำตอบ: (ก) เงินสดจ่ายจริงในอนาคต (ข) ราคาปี 2569 (ค) มูลค่าปัจจุบันคิดลดแล้ว — ต่างกันได้เกินสองเท่า</t>
  </si>
  <si>
    <t xml:space="preserve">ตัวเลข 40 ล้านจะ 'สมเหตุสมผล' หรือ 'เกินจริง' ขึ้นอยู่กับว่าใช้นิยามไหน — ประเด็นสำคัญที่สุดของแฟ้มนี้</t>
  </si>
  <si>
    <t xml:space="preserve">3</t>
  </si>
  <si>
    <t xml:space="preserve">เป็นด้านรายจ่ายล้วน ไม่หักภาษีเงินได้ที่ข้าราชการจ่ายคืนรัฐ และไม่ตีมูลค่าบริการสาธารณะที่ผลิตออกมา</t>
  </si>
  <si>
    <t xml:space="preserve">4</t>
  </si>
  <si>
    <t xml:space="preserve">ไม่รวมค่าสำนักงาน ครุภัณฑ์ ค่าฝึกอบรมระหว่างประจำการ — ตัวเลขจริงจึงสูงกว่านี้อีก</t>
  </si>
  <si>
    <t xml:space="preserve">5</t>
  </si>
  <si>
    <t xml:space="preserve">ค่าเฉลี่ยกลบความต่างมหาศาล กรณีผู้น้อยมีต้นทุนไม่ถึงครึ่งของกรณีผู้ใหญ่</t>
  </si>
  <si>
    <t xml:space="preserve">6</t>
  </si>
  <si>
    <t xml:space="preserve">สามกรณีนี้เป็น 'ตัวอย่างเส้นทางอาชีพ' ไม่ใช่ค่าเฉลี่ยทางสถิติของข้าราชการไทย</t>
  </si>
  <si>
    <t xml:space="preserve">การจะบอกว่าเฉลี่ยคนละกี่ล้าน ต้องถ่วงน้ำหนักตามสัดส่วนคนแต่ละระดับ ความน่าจะเป็นที่จะมีคู่สมรส/บุตร/บิดามารดามีชีวิต</t>
  </si>
  <si>
    <t xml:space="preserve">และอัตราการใช้สิทธิจริงของแต่ละสวัสดิการ ซึ่งแฟ้มนี้ยังไม่ได้ทำ</t>
  </si>
  <si>
    <t xml:space="preserve">7</t>
  </si>
  <si>
    <t xml:space="preserve">สมมติว่าใช้สิทธิเต็มทุกอย่าง และทุกคนมีชีวิตถึงอายุที่กำหนดพอดี ไม่ได้ใช้ตารางความน่าจะเป็นการมีชีวิตรอด</t>
  </si>
  <si>
    <t xml:space="preserve">8</t>
  </si>
  <si>
    <t xml:space="preserve">สมมติว่ารัฐปรับโครงสร้างเงินเดือนตามทันเงินเฟ้อตลอดอายุราชการ ซึ่งไม่มีกฎหมายรับประกัน</t>
  </si>
  <si>
    <t xml:space="preserve">9</t>
  </si>
  <si>
    <t xml:space="preserve">ค่ารักษาโตราว 4% ต่อปี ทบ 60 ปีคือ 10.8 เท่า เป็นการคาดการณ์ระยะยาวที่ความไม่แน่นอนสูงมาก ไม่ใช่พยากรณ์</t>
  </si>
  <si>
    <t xml:space="preserve">สมมติฐานทั้งหมด</t>
  </si>
  <si>
    <t xml:space="preserve">ราคาทุกรายการเป็น 'ราคาปี 2569' เว้นแต่ระบุ  •  แก้เฉพาะช่องพื้นเหลือง  •  แก้แล้วกด Ctrl+Shift+F9 หรือเปิด-ปิดใหม่ ให้สูตรคำนวณใหม่</t>
  </si>
  <si>
    <t xml:space="preserve">รายการ</t>
  </si>
  <si>
    <t xml:space="preserve">1 ชั้นผู้น้อย</t>
  </si>
  <si>
    <t xml:space="preserve">2 ระดับกลาง</t>
  </si>
  <si>
    <t xml:space="preserve">3 ระดับสูง</t>
  </si>
  <si>
    <t xml:space="preserve">หน่วย</t>
  </si>
  <si>
    <t xml:space="preserve">ที่มา / เหตุผล</t>
  </si>
  <si>
    <t xml:space="preserve">โครงร่างอาชีพ</t>
  </si>
  <si>
    <t xml:space="preserve">ระดับตอนเกษียณ</t>
  </si>
  <si>
    <t xml:space="preserve">ทั่วไป – ชำนาญงาน</t>
  </si>
  <si>
    <t xml:space="preserve">วิชาการ – ชำนาญการพิเศษ</t>
  </si>
  <si>
    <t xml:space="preserve">เชี่ยวชาญ / อำนวยการสูง</t>
  </si>
  <si>
    <t xml:space="preserve">พ.ร.บ.ระเบียบข้าราชการพลเรือน พ.ศ. 2551</t>
  </si>
  <si>
    <t xml:space="preserve">อายุแรกบรรจุ</t>
  </si>
  <si>
    <t xml:space="preserve">ปี</t>
  </si>
  <si>
    <t xml:space="preserve">ต่ำ = วุฒิ ปวส. / กลาง = ป.ตรี / สูง = ป.โท</t>
  </si>
  <si>
    <t xml:space="preserve">อายุเกษียณ</t>
  </si>
  <si>
    <t xml:space="preserve">เกษียณอายุราชการปกติ</t>
  </si>
  <si>
    <t xml:space="preserve">อายุที่เสียชีวิต</t>
  </si>
  <si>
    <t xml:space="preserve">อายุคาดเฉลี่ยของคนไทยเมื่ออายุ 60 ปีอยู่ราว 80–85 ปี</t>
  </si>
  <si>
    <t xml:space="preserve">อายุราชการ</t>
  </si>
  <si>
    <t xml:space="preserve">อายุเกษียณ − อายุแรกบรรจุ</t>
  </si>
  <si>
    <t xml:space="preserve">จำนวนปีรับบำนาญ</t>
  </si>
  <si>
    <t xml:space="preserve">อายุเสียชีวิต − อายุเกษียณ + 1</t>
  </si>
  <si>
    <t xml:space="preserve">เงินเดือนและเงินเพิ่ม</t>
  </si>
  <si>
    <t xml:space="preserve">เงินเดือนแรกบรรจุ</t>
  </si>
  <si>
    <t xml:space="preserve">บาท/เดือน</t>
  </si>
  <si>
    <t xml:space="preserve">อัตราแรกบรรจุ 1 พ.ค. 2568 (สำนักงาน ก.พ.): ปวส. 13,920 / ป.ตรี 18,220 / ป.โท 21,180</t>
  </si>
  <si>
    <t xml:space="preserve">เงินเดือนเดือนสุดท้ายก่อนเกษียณ</t>
  </si>
  <si>
    <t xml:space="preserve">เพดานบัญชีเงินเดือน: ชำนาญงาน 38,750 / ชำนาญการพิเศษ 58,390 / เชี่ยวชาญ 69,040 / อำนวยการสูง 76,800</t>
  </si>
  <si>
    <t xml:space="preserve">อัตราเติบโตเงินเดือนที่แท้จริง</t>
  </si>
  <si>
    <t xml:space="preserve">%/ปี</t>
  </si>
  <si>
    <t xml:space="preserve">คำนวณย้อนกลับจากเงินเดือนต้น–ปลาย ไม่รวมเงินเฟ้อ</t>
  </si>
  <si>
    <t xml:space="preserve">เงินประจำตำแหน่ง/เงินเพิ่มพิเศษ ระยะที่ 1</t>
  </si>
  <si>
    <t xml:space="preserve">เงินประจำตำแหน่งชำนาญการ 3,500 / ชำนาญการพิเศษ 5,600 — ประเภททั่วไประดับชำนาญงานไม่มี</t>
  </si>
  <si>
    <t xml:space="preserve">   เริ่มปีราชการที่ (ระยะ 1)</t>
  </si>
  <si>
    <t xml:space="preserve">ปีที่</t>
  </si>
  <si>
    <t xml:space="preserve">ใส่ 999 = ไม่ได้รับ</t>
  </si>
  <si>
    <t xml:space="preserve">เงินประจำตำแหน่ง/เงินเพิ่มพิเศษ ระยะที่ 2</t>
  </si>
  <si>
    <t xml:space="preserve">ระดับสูงได้เงินประจำตำแหน่ง 10,000 + ค่าตอบแทนรายเดือนอีก 10,000</t>
  </si>
  <si>
    <t xml:space="preserve">   เริ่มปีราชการที่ (ระยะ 2)</t>
  </si>
  <si>
    <t xml:space="preserve">ค่าตอบแทน/สวัสดิการอื่น</t>
  </si>
  <si>
    <t xml:space="preserve">% ของเงินเดือน</t>
  </si>
  <si>
    <t xml:space="preserve">ค่าล่วงเวลา เบี้ยประชุม ค่าเดินทางไปราชการ เครื่องแบบ — ไม่มีสถิติรวมเผยแพร่ เป็นการประมาณของผู้จัดทำล้วน ๆ ตั้งเป็น 0 ได้ถ้าไม่ต้องการนับ</t>
  </si>
  <si>
    <t xml:space="preserve">เงินสมทบ กบข. ที่รัฐจ่าย</t>
  </si>
  <si>
    <t xml:space="preserve">เงินสมทบ 3% + เงินชดเชย 2% ตาม พ.ร.บ.กบข. 2539</t>
  </si>
  <si>
    <t xml:space="preserve">ค่าเช่าบ้านราชการ</t>
  </si>
  <si>
    <t xml:space="preserve">เบิกได้เฉพาะผู้ไม่มีเคหสถานของตนเองในท้องที่ที่ประจำการ ค่าตั้งต้นสมมติว่าเบิกเต็มสิทธิ ซึ่งเกินจริงสำหรับค่าเฉลี่ยประชากร</t>
  </si>
  <si>
    <t xml:space="preserve">   จำนวนปีที่เบิก</t>
  </si>
  <si>
    <t xml:space="preserve">ครอบครัวและสวัสดิการ</t>
  </si>
  <si>
    <t xml:space="preserve">มีคู่สมรสที่ใช้สิทธิของเรา (1=มี, 0=ไม่มี)</t>
  </si>
  <si>
    <t xml:space="preserve">คน</t>
  </si>
  <si>
    <t xml:space="preserve">ใส่ 0 ถ้าคู่สมรสมีสิทธิของตนเอง เช่น เป็นข้าราชการเหมือนกัน</t>
  </si>
  <si>
    <t xml:space="preserve">จำนวนบุตร</t>
  </si>
  <si>
    <t xml:space="preserve">เบิกค่ารักษาและค่าการศึกษาได้ไม่เกิน 3 คน</t>
  </si>
  <si>
    <t xml:space="preserve">บิดามารดาที่ใช้สิทธิ</t>
  </si>
  <si>
    <t xml:space="preserve">เบิกให้บิดามารดาของตนเองได้ แต่เบิกให้พ่อแม่ของคู่สมรสไม่ได้</t>
  </si>
  <si>
    <t xml:space="preserve">ค่าการศึกษาบุตร</t>
  </si>
  <si>
    <t xml:space="preserve">บาท/ปี/คน</t>
  </si>
  <si>
    <t xml:space="preserve">อัตราขึ้นกับประเภทสถานศึกษา เบิกได้จนจบปริญญาตรี</t>
  </si>
  <si>
    <t xml:space="preserve">   ปีราชการที่เริ่มเบิก</t>
  </si>
  <si>
    <t xml:space="preserve">ปีราชการที่มีบุตรคนแรก</t>
  </si>
  <si>
    <t xml:space="preserve">บุตรใช้สิทธิรักษาพยาบาลได้ 20 ปี นับจากปีนี้</t>
  </si>
  <si>
    <t xml:space="preserve">ช่วงอายุห่างระหว่างเรากับบิดามารดา</t>
  </si>
  <si>
    <t xml:space="preserve">ใช้คำนวณอายุของบิดามารดาในแต่ละปี เพื่อคิดค่ารักษาตามอายุจริง</t>
  </si>
  <si>
    <t xml:space="preserve">อายุที่บิดามารดาเสียชีวิต</t>
  </si>
  <si>
    <t xml:space="preserve">บิดามารดาใช้สิทธิจนถึงอายุนี้</t>
  </si>
  <si>
    <t xml:space="preserve">ตัวคูณระดับค่ารักษาพยาบาล</t>
  </si>
  <si>
    <t xml:space="preserve">เท่า</t>
  </si>
  <si>
    <t xml:space="preserve">ใช้ทดสอบว่าถ้าค่ารักษาแพงหรือถูกกว่าที่ตั้งไว้ ผลลัพธ์จะเปลี่ยนไปแค่ไหน</t>
  </si>
  <si>
    <t xml:space="preserve">สมมติฐานร่วม (ใช้กับทั้ง 5 กรณี)</t>
  </si>
  <si>
    <t xml:space="preserve">ค่ารักษาพยาบาลฐาน (ที่ตัวคูณอายุ = 1.00)</t>
  </si>
  <si>
    <t xml:space="preserve">ปรับทั้งระบบ · สอบเทียบให้ค่าเฉลี่ยทุกช่วงอายุออกมาใกล้ 21,200 บาท/คน/ปี ตามข้อมูลจริง</t>
  </si>
  <si>
    <t xml:space="preserve">ปีฐาน (พ.ศ.) ที่เริ่มบรรจุ</t>
  </si>
  <si>
    <t xml:space="preserve">สมมติว่าบรรจุปีนี้ เพื่อดูภาระในอนาคตของคนที่เพิ่งเข้าระบบ</t>
  </si>
  <si>
    <t xml:space="preserve">อัตราเงินเฟ้อทั่วไป</t>
  </si>
  <si>
    <t xml:space="preserve">กรอบเป้าหมายเงินเฟ้อ ธปท. 1–3% — ตัวแปรที่กระทบผลลัพธ์มากที่สุด</t>
  </si>
  <si>
    <t xml:space="preserve">ค่ารักษาพยาบาลเพิ่มขึ้นเกินเงินเฟ้อ</t>
  </si>
  <si>
    <t xml:space="preserve">งบค่ารักษาพยาบาลข้าราชการโต 57% ใน 11 ปี ≈ 4.2%/ปี จึงเกินเงินเฟ้อราว 2%</t>
  </si>
  <si>
    <t xml:space="preserve">อัตราคิดลดที่แท้จริง (real discount rate)</t>
  </si>
  <si>
    <t xml:space="preserve">ใช้คำนวณมูลค่าปัจจุบัน — เงินที่รัฐจ่ายอีก 50 ปีข้างหน้ามีค่าน้อยกว่าเงินจำนวนเดียวกันวันนี้ · งานการคลังมักใช้ 1–3%</t>
  </si>
  <si>
    <t xml:space="preserve">อัตราปรับบำนาญต่อปี</t>
  </si>
  <si>
    <t xml:space="preserve">ไทยไม่มีกลไกปรับอัตโนมัติ แต่ปรับเป็นระยะด้วยการออก พ.ร.ฎ. เงินช่วยค่าครองชีพผู้รับเบี้ยหวัดบำนาญ (ช.ค.บ.) แก้ไขมาแล้ว 17 ฉบับนับจาก พ.ศ. 2521 · สองครั้งหลังสุดยกเฉพาะพื้นขั้นต่ำ จาก 10,000 บาท (ฉบับที่ 16 พ.ศ. 2562) เป็น 11,000 บาท (ฉบับที่ 17 มีผล 1 พ.ค. 2567) ไม่ได้ยกทั้งฐาน · ตั้ง 1% ซึ่งต่ำกว่าเงินเฟ้อ ปรับเองได้</t>
  </si>
  <si>
    <t xml:space="preserve">เพดานบำนาญ (% ของเงินเดือนเฉลี่ย 60 เดือน)</t>
  </si>
  <si>
    <t xml:space="preserve">พ.ร.บ.กบข. 2539</t>
  </si>
  <si>
    <t xml:space="preserve">ตัวหารสูตรบำนาญ</t>
  </si>
  <si>
    <t xml:space="preserve">บำนาญ = เงินเดือนเฉลี่ย 60 เดือนสุดท้าย × เวลาราชการ ÷ 50</t>
  </si>
  <si>
    <t xml:space="preserve">ช.ค.บ. — พื้นบำนาญขั้นต่ำ (ราคาปี 2569)</t>
  </si>
  <si>
    <t xml:space="preserve">พ.ร.ฎ. ฉบับที่ 17 มีผล 1 พ.ค. 2567 · แบบจำลองให้พื้นนี้โตตามเงินเฟ้อจนถึงปีเกษียณ เพราะในทางปฏิบัติถูกยกเป็นระยะ (10,000 ในปี 2562 เป็น 11,000 ในปี 2567 ≈ 1.9% ต่อปี)</t>
  </si>
  <si>
    <t xml:space="preserve">บำเหน็จดำรงชีพ ครั้งที่ 1 (อายุต่ำกว่า 65)</t>
  </si>
  <si>
    <t xml:space="preserve">15 เท่าของบำนาญ แต่ไม่เกิน 200,000 บาท</t>
  </si>
  <si>
    <t xml:space="preserve">บำเหน็จดำรงชีพ เพดานรวม (อายุ 65–69)</t>
  </si>
  <si>
    <t xml:space="preserve">15 เท่าของบำนาญ รวมแล้วไม่เกิน 400,000 บาท</t>
  </si>
  <si>
    <t xml:space="preserve">บำเหน็จดำรงชีพ เพดานรวม (อายุ 70 ขึ้นไป)</t>
  </si>
  <si>
    <t xml:space="preserve">15 เท่าของบำนาญ รวมแล้วไม่เกิน 500,000 บาท (กฎกระทรวงกำหนดอัตราและวิธีการรับบำเหน็จดำรงชีพ พ.ศ. 2562)</t>
  </si>
  <si>
    <t xml:space="preserve">ตัวคูณบำเหน็จดำรงชีพ</t>
  </si>
  <si>
    <t xml:space="preserve">× บำนาญรายเดือน</t>
  </si>
  <si>
    <t xml:space="preserve">ตัวคูณบำเหน็จตกทอด</t>
  </si>
  <si>
    <t xml:space="preserve">(บำนาญ + ช.ค.บ.) × 30 − บำเหน็จดำรงชีพที่รับไปแล้ว</t>
  </si>
  <si>
    <t xml:space="preserve">ตัวคูณเงินช่วยพิเศษ (ค่าทำศพ)</t>
  </si>
  <si>
    <t xml:space="preserve">(บำนาญ + ช.ค.บ.) × 3 จ่ายทายาท</t>
  </si>
  <si>
    <t xml:space="preserve">จำนวนข้าราชการทั้งประเทศ</t>
  </si>
  <si>
    <t xml:space="preserve">สำนักงบประมาณของรัฐสภา: ประมาณ 1.73 ล้านคน</t>
  </si>
  <si>
    <t xml:space="preserve">งบประมาณรายจ่ายปี 2569 (ล้านบาท)</t>
  </si>
  <si>
    <t xml:space="preserve">พ.ร.บ.งบประมาณรายจ่ายประจำปี 2569</t>
  </si>
  <si>
    <t xml:space="preserve">ยอดเบิกค่ารักษาพยาบาล ขรก. จริง ปี 2569 (ล้านบาท)</t>
  </si>
  <si>
    <t xml:space="preserve">กรมบัญชีกลาง ส.ค. 2569 — ใช้สอบเทียบความสมเหตุสมผลของแบบจำลอง</t>
  </si>
  <si>
    <t xml:space="preserve">ผู้มีสิทธิรักษาพยาบาลทั้งระบบ (คน)</t>
  </si>
  <si>
    <t xml:space="preserve">ข้าราชการ + ผู้รับบำนาญ + ครอบครัว</t>
  </si>
  <si>
    <t xml:space="preserve">ตัวคูณค่ารักษาพยาบาลตามอายุ</t>
  </si>
  <si>
    <t xml:space="preserve">อายุตั้งแต่ (ปี)</t>
  </si>
  <si>
    <t xml:space="preserve">ตัวคูณ</t>
  </si>
  <si>
    <t xml:space="preserve">บาท/คน/ปี</t>
  </si>
  <si>
    <t xml:space="preserve">เด็กและวัยรุ่น</t>
  </si>
  <si>
    <t xml:space="preserve">วัยทำงานตอนต้น</t>
  </si>
  <si>
    <t xml:space="preserve">วัยกลางคน เริ่มมีโรคเรื้อรัง</t>
  </si>
  <si>
    <t xml:space="preserve">เพิ่งเข้าสู่วัยสูงอายุ</t>
  </si>
  <si>
    <t xml:space="preserve">สูงอายุ ค่ายาและ NCDs สูง</t>
  </si>
  <si>
    <t xml:space="preserve">สูงอายุมาก</t>
  </si>
  <si>
    <t xml:space="preserve">ที่มา: ผู้จัดทำกำหนดรูปโค้งเอง โดยสอบเทียบให้ค่าเฉลี่ยรวมทุกช่วงอายุใกล้เคียงยอดเบิกจริงต่อหัว งานวิจัยนิด้าประเมินว่าค่ารักษาผู้มีสิทธิจะพุ่งถึงราว 1 ล้านล้านบาทในปี 2588 จากเงินเฟ้อและสังคมสูงวัย</t>
  </si>
  <si>
    <t xml:space="preserve">กรณี ชั้นผู้น้อย — ประเภททั่วไป เกษียณระดับชำนาญงาน</t>
  </si>
  <si>
    <t xml:space="preserve">ทุกจำนวนเงินเป็น 'เงินสดที่จ่ายจริง ณ ปีนั้น' เว้นคอลัมน์สุดท้าย  •  แก้สมมติฐานได้ที่แผ่น 'สมมติฐาน' เท่านั้น  •  ตัวแปรบำนาญคำนวณไว้ทางขวามือ</t>
  </si>
  <si>
    <t xml:space="preserve">ตัวแปรบำนาญ (คำนวณจากตารางด้านล่าง)</t>
  </si>
  <si>
    <t xml:space="preserve">เงินเดือนเฉลี่ย 60 เดือนสุดท้าย</t>
  </si>
  <si>
    <t xml:space="preserve">บำนาญรายเดือน</t>
  </si>
  <si>
    <t xml:space="preserve">ช.ค.บ. รายเดือน (พื้นโตตามเงินเฟ้อถึงปีเกษียณ)</t>
  </si>
  <si>
    <t xml:space="preserve">บำนาญ + ช.ค.บ. รายเดือน</t>
  </si>
  <si>
    <t xml:space="preserve">บำเหน็จดำรงชีพ ครั้งที่ 1 (ปีเกษียณ)</t>
  </si>
  <si>
    <t xml:space="preserve">ปี พ.ศ.</t>
  </si>
  <si>
    <t xml:space="preserve">อายุ</t>
  </si>
  <si>
    <t xml:space="preserve">สถานะ</t>
  </si>
  <si>
    <t xml:space="preserve">ดัชนีราคา</t>
  </si>
  <si>
    <t xml:space="preserve">เงินเดือน
(บาท/เดือน)</t>
  </si>
  <si>
    <t xml:space="preserve">เงินเดือน
รายปี</t>
  </si>
  <si>
    <t xml:space="preserve">เงินประจำตำแหน่ง
+ เงินเพิ่มพิเศษ</t>
  </si>
  <si>
    <t xml:space="preserve">เงินสมทบ กบข.
(รัฐจ่าย)</t>
  </si>
  <si>
    <t xml:space="preserve">ค่าเช่าบ้าน</t>
  </si>
  <si>
    <t xml:space="preserve">ค่าการศึกษา
บุตร</t>
  </si>
  <si>
    <t xml:space="preserve">ค่าตอบแทน/
สวัสดิการอื่น</t>
  </si>
  <si>
    <t xml:space="preserve">ดัชนี
ค่ารักษา</t>
  </si>
  <si>
    <t xml:space="preserve">อายุ
บุตร</t>
  </si>
  <si>
    <t xml:space="preserve">อายุ
บิดามารดา</t>
  </si>
  <si>
    <t xml:space="preserve">ค่ารักษา
ตนเอง+คู่สมรส</t>
  </si>
  <si>
    <t xml:space="preserve">ค่ารักษา
บุตร</t>
  </si>
  <si>
    <t xml:space="preserve">ค่ารักษา
บิดามารดา</t>
  </si>
  <si>
    <t xml:space="preserve">บำนาญ + ช.ค.บ.</t>
  </si>
  <si>
    <t xml:space="preserve">เงินก้อน
(ดำรงชีพ/ตกทอด/ค่าทำศพ)</t>
  </si>
  <si>
    <t xml:space="preserve">รวมต้นทุนปีนั้น
(เงินสดจ่ายจริง)</t>
  </si>
  <si>
    <t xml:space="preserve">รวม ณ
ราคาปี 2569</t>
  </si>
  <si>
    <t xml:space="preserve">ตัวคิดลด</t>
  </si>
  <si>
    <t xml:space="preserve">มูลค่าปัจจุบัน
(คิดลดจริง 2%)</t>
  </si>
  <si>
    <t xml:space="preserve">บำเหน็จดำรงชีพ รวม ณ อายุ 65</t>
  </si>
  <si>
    <t xml:space="preserve">บำเหน็จดำรงชีพ ครั้งที่ 2 (อายุ 65)</t>
  </si>
  <si>
    <t xml:space="preserve">บำเหน็จดำรงชีพ รวม ณ อายุ 70</t>
  </si>
  <si>
    <t xml:space="preserve">บำเหน็จดำรงชีพ ครั้งที่ 3 (อายุ 70)</t>
  </si>
  <si>
    <t xml:space="preserve">บำเหน็จตกทอด (ปีเสียชีวิต)</t>
  </si>
  <si>
    <t xml:space="preserve">เงินช่วยพิเศษ ค่าทำศพ (ปีเสียชีวิต)</t>
  </si>
  <si>
    <t xml:space="preserve">รวม</t>
  </si>
  <si>
    <t xml:space="preserve">กรณี ระดับกลาง — ประเภทวิชาการ เกษียณระดับชำนาญการพิเศษ</t>
  </si>
  <si>
    <t xml:space="preserve">กรณี ระดับสูง — เทียบซี 9–10 เชี่ยวชาญ / อำนวยการสูง</t>
  </si>
  <si>
    <t xml:space="preserve">สรุปเปรียบเทียบ 5 กรณี และการกระทบยอดกับตัวเลข 40 ล้านบาท</t>
  </si>
  <si>
    <t xml:space="preserve">ตัวเลขทั้งหมดเป็นบาท และเป็น 'เงินสดที่จ่ายจริง' เว้นแต่ระบุ • ตัวเขียว = ดึงมาจากแผ่นคำนวณรายปี</t>
  </si>
  <si>
    <t xml:space="preserve">หมายเหตุ</t>
  </si>
  <si>
    <t xml:space="preserve">โครงร่าง</t>
  </si>
  <si>
    <t xml:space="preserve">อายุราชการ (ปี)</t>
  </si>
  <si>
    <t xml:space="preserve">เงินเดือนสุดท้าย (ราคาปี 2569)</t>
  </si>
  <si>
    <t xml:space="preserve">บำนาญ + ช.ค.บ. รายเดือน (ณ ปีเกษียณ)</t>
  </si>
  <si>
    <t xml:space="preserve">เงินเดือนเฉลี่ย 60 เดือนสุดท้าย × อายุราชการ ÷ 50 เพดาน 70%</t>
  </si>
  <si>
    <t xml:space="preserve">ก. ต้นทุนช่วงรับราชการ</t>
  </si>
  <si>
    <t xml:space="preserve">   เงินเดือน</t>
  </si>
  <si>
    <t xml:space="preserve">ก้อนใหญ่ที่สุดเสมอ ทบต้นด้วยการเลื่อนขั้นและเงินเฟ้อตลอด 35–38 ปี</t>
  </si>
  <si>
    <t xml:space="preserve">   เงินประจำตำแหน่ง + เงินเพิ่มพิเศษ</t>
  </si>
  <si>
    <t xml:space="preserve">เฉพาะระดับชำนาญการขึ้นไป</t>
  </si>
  <si>
    <t xml:space="preserve">   เงินสมทบ กบข. ที่รัฐจ่าย</t>
  </si>
  <si>
    <t xml:space="preserve">สมทบ 3% + ชดเชย 2%</t>
  </si>
  <si>
    <t xml:space="preserve">   ค่าเช่าบ้าน</t>
  </si>
  <si>
    <t xml:space="preserve">   ค่าการศึกษาบุตร</t>
  </si>
  <si>
    <t xml:space="preserve">   ค่าตอบแทน/สวัสดิการอื่น</t>
  </si>
  <si>
    <t xml:space="preserve">ประมาณการ 3–4% ของเงินเดือน</t>
  </si>
  <si>
    <t xml:space="preserve">   ค่ารักษาพยาบาล (ช่วงรับราชการ เฉพาะตนเอง+คู่สมรส)</t>
  </si>
  <si>
    <t xml:space="preserve">รวมช่วงรับราชการ (ไม่รวมค่ารักษาบุตร/บิดามารดา)</t>
  </si>
  <si>
    <t xml:space="preserve">ข. ต้นทุนช่วงหลังเกษียณ</t>
  </si>
  <si>
    <t xml:space="preserve">   บำนาญ + ช.ค.บ.</t>
  </si>
  <si>
    <t xml:space="preserve">จ่ายทุกเดือนจนเสียชีวิต ไม่ปรับตามเงินเฟ้อ</t>
  </si>
  <si>
    <t xml:space="preserve">   บำเหน็จดำรงชีพ / ตกทอด / ค่าทำศพ</t>
  </si>
  <si>
    <t xml:space="preserve">ดำรงชีพเป็นการจ่ายล่วงหน้าของบำเหน็จตกทอด สูตรหักกันแล้ว ไม่นับซ้ำ</t>
  </si>
  <si>
    <t xml:space="preserve">   ค่ารักษาพยาบาลตนเอง+คู่สมรส (หลังเกษียณ)</t>
  </si>
  <si>
    <t xml:space="preserve">ก้อนที่โตเร็วที่สุด ผู้สูงอายุใช้จ่ายสูงและค่ารักษาขึ้นเกินเงินเฟ้อทุกปี</t>
  </si>
  <si>
    <t xml:space="preserve">รวมช่วงหลังเกษียณ</t>
  </si>
  <si>
    <t xml:space="preserve">ค. ค่ารักษาพยาบาล แยกตามผู้ใช้สิทธิ (คำถามที่ถามกันบ่อย)</t>
  </si>
  <si>
    <t xml:space="preserve">ค่ารักษาคิดตามอายุจริงของแต่ละคน ไม่ได้ใช้อัตราเดียวเหมารวม (ดูตารางตัวคูณอายุในแผ่นสมมติฐาน)</t>
  </si>
  <si>
    <t xml:space="preserve">ราคาปี 2569 — ตัวเลขที่เทียบกันได้ตรงที่สุด</t>
  </si>
  <si>
    <t xml:space="preserve">   ตนเอง + คู่สมรส (ราคาปี 2569)</t>
  </si>
  <si>
    <t xml:space="preserve">ใช้สิทธิตลอดชีวิต ค่าใช้จ่ายพุ่งสูงสุดหลังอายุ 70</t>
  </si>
  <si>
    <t xml:space="preserve">   บุตร (ราคาปี 2569)</t>
  </si>
  <si>
    <t xml:space="preserve">ใช้สิทธิได้จนอายุ 20 ปี ค่ารักษาต่อหัวต่ำที่สุด</t>
  </si>
  <si>
    <t xml:space="preserve">   บิดามารดา (ราคาปี 2569)</t>
  </si>
  <si>
    <t xml:space="preserve">คำตอบของคำถาม 'รวมค่ารักษาพ่อแม่หรือยัง' — รวมแล้ว และในราคาปี 2569 เป็นก้อนที่ใกล้เคียงกับของตัวข้าราชการเองกับคู่สมรสรวมกัน</t>
  </si>
  <si>
    <t xml:space="preserve">รวมค่ารักษาพยาบาล (ราคาปี 2569)</t>
  </si>
  <si>
    <t xml:space="preserve">สัดส่วนค่ารักษาบิดามารดา (ราคาปี 2569)</t>
  </si>
  <si>
    <t xml:space="preserve">สูงกว่าที่หลายคนคาด เพราะพ่อแม่อยู่ในช่วงอายุที่ค่ารักษาแพงที่สุดตลอดเวลาที่ใช้สิทธิ</t>
  </si>
  <si>
    <t xml:space="preserve">ตัวเงินจริง — ดูต่ำกว่าเพราะพ่อแม่ป่วยในช่วงปีต้น ๆ ที่ค่าเงินยังไม่เฟ้อ</t>
  </si>
  <si>
    <t xml:space="preserve">   ตนเอง + คู่สมรส</t>
  </si>
  <si>
    <t xml:space="preserve">   บุตร</t>
  </si>
  <si>
    <t xml:space="preserve">   บิดามารดา</t>
  </si>
  <si>
    <t xml:space="preserve">ตัวเลขนี้ต่ำกว่าคอลัมน์ราคาปี 2569 มาก เพราะดัชนีค่ารักษาในปีที่ 1–30 อยู่ที่ 1–3 เท่า ขณะที่ปีที่ 50–60 สูงถึง 7–10 เท่า ไม่ได้แปลว่ารัฐดูแลพ่อแม่ถูกกว่า</t>
  </si>
  <si>
    <t xml:space="preserve">รวมค่ารักษาพยาบาลทั้งหมด</t>
  </si>
  <si>
    <t xml:space="preserve">สัดส่วนค่ารักษาบิดามารดา ต่อต้นทุนทั้งหมด</t>
  </si>
  <si>
    <t xml:space="preserve">คำตอบสั้น ๆ ของคำถาม 'รวมค่ารักษาพ่อแม่หรือยัง' — รวมแล้ว และคิดเป็นสัดส่วนเท่านี้</t>
  </si>
  <si>
    <t xml:space="preserve">ง. ผลลัพธ์</t>
  </si>
  <si>
    <t xml:space="preserve">(ก) เงินสดที่รัฐจ่ายจริงตลอดชีวิต</t>
  </si>
  <si>
    <t xml:space="preserve">ผลบวกเงินสด 55–62 ปี ตามที่จะจ่ายจริงในอนาคต — นิยามที่ 'ใหญ่' ที่สุด</t>
  </si>
  <si>
    <t xml:space="preserve">(ข) คิดกลับเป็นราคาปี 2569</t>
  </si>
  <si>
    <t xml:space="preserve">ปรับเงินเฟ้อกลับมาเป็นกำลังซื้อวันนี้ เทียบกับเงินเดือนวันนี้ได้ตรงกว่า แต่ยังไม่ได้คิดลด เงิน 1 ล้านบาทที่จ่ายอีก 50 ปีข้างหน้ายังนับเท่า 1 ล้านบาทวันนี้</t>
  </si>
  <si>
    <t xml:space="preserve">(ค) มูลค่าปัจจุบัน คิดลดจริง 2% ต่อปี</t>
  </si>
  <si>
    <t xml:space="preserve">จำนวนเงินที่รัฐต้องกันไว้วันนี้เพื่อรองรับภาระทั้งหมด เป็นนิยามที่ใช้ในงานการคลัง หน้าเว็บไม่แสดงตัวนี้เพราะอ่านยาก แต่เป็นคำตอบที่ตรงที่สุดของคำถาม 'รัฐต้องเตรียมเงินเท่าไหร่'</t>
  </si>
  <si>
    <t xml:space="preserve">จ. กระทบยอดกับตัวเลข 40 ล้านบาท</t>
  </si>
  <si>
    <t xml:space="preserve">ตัวเลขที่เป็นข่าว</t>
  </si>
  <si>
    <t xml:space="preserve">ไม่ระบุว่าเป็นนิยามใดใน 2 ข้อข้างบน</t>
  </si>
  <si>
    <t xml:space="preserve">ส่วนต่างจากนิยาม (ก) เงินสดจ่ายจริง</t>
  </si>
  <si>
    <t xml:space="preserve">ส่วนต่างจากนิยาม (ข) ราคาปี 2569</t>
  </si>
  <si>
    <t xml:space="preserve">ฉ. สอบเทียบความสมเหตุสมผล</t>
  </si>
  <si>
    <t xml:space="preserve">ค่ารักษาพยาบาลเฉลี่ยต่อผู้มีสิทธิ 1 คน/ปี (ข้อมูลจริงทั้งระบบ)</t>
  </si>
  <si>
    <t xml:space="preserve">1.06 แสนล้านบาท ÷ ผู้มีสิทธิ ~5 ล้านคน ใช้ตรวจว่าอัตราต่อหัวในแบบจำลองไม่หลุดจากความจริง</t>
  </si>
  <si>
    <t xml:space="preserve">ค่ารักษาเฉลี่ยต่อครัวเรือนข้าราชการ/ปี ในแบบจำลอง (ราคาปี 2569)</t>
  </si>
  <si>
    <t xml:space="preserve">เทียบกับ ~41,000 บาท/ครัวเรือนผู้เบิก/ปี ตามข้อมูลจริง (1.06 แสนล้าน ÷ ผู้เบิก 2.6 ล้านคน) กรณีที่มีครอบครัวครบจะสูงกว่าค่าเฉลี่ยนี้เป็นเรื่องปกติ เพราะค่าเฉลี่ยจริงรวมคนโสดและคนไม่มีผู้อาศัยสิทธิด้วย</t>
  </si>
  <si>
    <t xml:space="preserve">ช. ขยายผลทั้งระบบ (ใช้กรณีระดับกลางเป็นตัวแทน)</t>
  </si>
  <si>
    <t xml:space="preserve">คอลัมน์ในส่วนนี้คือ 'นิยาม' ไม่ใช่ 'กรณี'</t>
  </si>
  <si>
    <t xml:space="preserve">(ก) เงินสดจ่ายจริง</t>
  </si>
  <si>
    <t xml:space="preserve">(ข) ราคาปี 2569</t>
  </si>
  <si>
    <t xml:space="preserve">× ข้าราชการ 1.7 ล้านคน (ล้านล้านบาท)</t>
  </si>
  <si>
    <t xml:space="preserve">ระวัง: ข้าราชการ 1.7 ล้านคนไม่ได้บรรจุพร้อมกัน ภาระกระจายตลอด 60 ปี ไม่ใช่หนี้ที่ต้องจ่ายวันนี้</t>
  </si>
  <si>
    <t xml:space="preserve">หารเฉลี่ยเป็นรายจ่ายต่อปี (แบ่ง 60 ปี, ล้านล้านบาท/ปี)</t>
  </si>
  <si>
    <t xml:space="preserve">วิธีอ่านที่ถูกต้องกว่า เทียบกับรายจ่ายบุคลากรจริงราว 1.4 ล้านล้านบาท/ปี ซึ่งครอบคลุมกำลังคนภาครัฐ ~3 ล้านคน ไม่ใช่แค่ข้าราชการ 1.7 ล้านคน</t>
  </si>
  <si>
    <t xml:space="preserve">ซ. ความไวต่ออัตราเงินเฟ้อ (กรณีระดับกลาง)</t>
  </si>
  <si>
    <t xml:space="preserve">ค่าด้านล่างคำนวณไว้ล่วงหน้าโดยคงสมมติฐานอื่นเดิม — ถ้าแก้สมมติฐานอื่นต้องอัปเดตเอง</t>
  </si>
  <si>
    <t xml:space="preserve">อัตราเงินเฟ้อ</t>
  </si>
  <si>
    <t xml:space="preserve">แถบเหลืองคือค่าที่ใช้อยู่ปัจจุบัน 2.0%</t>
  </si>
  <si>
    <t xml:space="preserve">ข้อสรุปสำคัญ</t>
  </si>
  <si>
    <t xml:space="preserve">• ต้นทุนก้อนเดียวกันให้คำตอบต่างกันเกือบสามเท่า ขึ้นกับนิยาม: 67.5 / 35.5 / 20.5 ล้าน สำหรับกรณีระดับกลาง</t>
  </si>
  <si>
    <t xml:space="preserve">• ที่เงินเฟ้อ 0% (คิดเป็นราคาปี 2569 ทั้งหมด) ต้นทุนกรณีระดับกลางอยู่ที่ราว 38 ล้านบาท</t>
  </si>
  <si>
    <t xml:space="preserve">• ตัวเลข 40 ล้านใกล้เคียงกับ 'ราคาปี 2569' ของกรณีระดับกลาง มากกว่าจะเป็นเงินสดที่จ่ายจริงในอนาคต</t>
  </si>
  <si>
    <t xml:space="preserve">• แต่จะสรุปว่า 'ข้าราชการเฉลี่ยคนละ 35 ล้าน' ยังไม่ได้ เพราะสามกรณีนี้เป็นตัวอย่างเส้นทางอาชีพ ไม่ใช่ค่าเฉลี่ยถ่วงน้ำหนักตามประชากร</t>
  </si>
  <si>
    <t xml:space="preserve">• ข้อสรุปที่แข็งแรงกว่าคือ ตัวเลขเดียวอย่าง 40 ล้านไม่มีทางเป็นข้อเท็จจริงตายตัว เพราะแกว่งเกินสองเท่าตามระดับตำแหน่งและนิยามค่าเงิน</t>
  </si>
  <si>
    <t xml:space="preserve">• ค่ารักษาพยาบาลของบิดามารดา ในราคาปี 2569 คิดเป็นราว 40% ของค่ารักษาทั้งหมด ไม่ใช่ก้อนเล็ก</t>
  </si>
  <si>
    <t xml:space="preserve">• ค่าเฉลี่ยกลบความต่าง: ผู้น้อย 39.8 ล้าน ระดับสูง 99.3 ล้าน ต่างกัน 2.5 เท่า</t>
  </si>
  <si>
    <t xml:space="preserve">ข้อมูลที่ใช้</t>
  </si>
  <si>
    <t xml:space="preserve">ค่า/สาระสำคัญ</t>
  </si>
  <si>
    <t xml:space="preserve">แหล่งที่มา</t>
  </si>
  <si>
    <t xml:space="preserve">ลิงก์</t>
  </si>
  <si>
    <t xml:space="preserve">ข้ออ้าง 40 ล้านบาท/คน</t>
  </si>
  <si>
    <t xml:space="preserve">ตั้งแต่บรรจุ–เกษียณ–บำนาญ–สวัสดิการ จนเสียชีวิต; ไม่เผยแพร่วิธีคำนวณ</t>
  </si>
  <si>
    <t xml:space="preserve">ประชาชาติธุรกิจ / มติชน 4 ก.ย. 2569 — เสวนา 'ปฏิรูปข้าราชการ Firming Thailand?' ธรรมศาสตร์</t>
  </si>
  <si>
    <t xml:space="preserve">https://www.prachachat.net/politics/news-2062371</t>
  </si>
  <si>
    <t xml:space="preserve">จำนวนข้าราชการ</t>
  </si>
  <si>
    <t xml:space="preserve">กำลังคนภาครัฐ ~3 ล้านคน เป็นข้าราชการ ~1.73 ล้านคน (56.1%)</t>
  </si>
  <si>
    <t xml:space="preserve">สำนักงบประมาณของรัฐสภา (PBO)</t>
  </si>
  <si>
    <t xml:space="preserve">https://web.parliament.go.th/assets/portals/82/news/1713/1_1713.pdf</t>
  </si>
  <si>
    <t xml:space="preserve">งบประมาณปี 2569</t>
  </si>
  <si>
    <t xml:space="preserve">3,780,600 ล้านบาท</t>
  </si>
  <si>
    <t xml:space="preserve">https://www.prd.go.th/th/content/category/detail/id/39/iid/390710</t>
  </si>
  <si>
    <t xml:space="preserve">รายจ่ายบุคลากร</t>
  </si>
  <si>
    <t xml:space="preserve">งบบุคลากรโดยตรง 852,671 ลบ. + งบกลางที่เกี่ยวกับ ขรก. อีก 572,620 ลบ. (ปี 2570)</t>
  </si>
  <si>
    <t xml:space="preserve">The Momentum อ้างเอกสารงบประมาณ</t>
  </si>
  <si>
    <t xml:space="preserve">https://themomentum.co/feature-civil-medical-welfare/</t>
  </si>
  <si>
    <t xml:space="preserve">ค่ารักษาพยาบาลข้าราชการ</t>
  </si>
  <si>
    <t xml:space="preserve">ปี 2569 ยอดเบิก 1.06 แสนล้านบาท ผู้มีสิทธิ ~5 ล้านคน</t>
  </si>
  <si>
    <t xml:space="preserve">กรมบัญชีกลาง (ส.ค. 2569) ผ่าน Hfocus</t>
  </si>
  <si>
    <t xml:space="preserve">https://www.hfocus.org/content/2026/08/39274</t>
  </si>
  <si>
    <t xml:space="preserve">อัตราการเติบโตค่ารักษาพยาบาล</t>
  </si>
  <si>
    <t xml:space="preserve">เพิ่ม 57% ใน 11 ปี ≈ 4.2% ต่อปี</t>
  </si>
  <si>
    <t xml:space="preserve">คลังสารสนเทศรัฐสภา ผ่าน The Momentum</t>
  </si>
  <si>
    <t xml:space="preserve">เงินเดือนแรกบรรจุพลเรือน</t>
  </si>
  <si>
    <t xml:space="preserve">ปวส. 13,920 / ป.ตรี 18,220 / ป.โท 21,180 (มีผล 1 พ.ค. 2568)</t>
  </si>
  <si>
    <t xml:space="preserve">มติ ครม. 29 ก.พ. 2567 ตามข้อเสนอสำนักงาน ก.พ.</t>
  </si>
  <si>
    <t xml:space="preserve">https://www.ocsc.go.th</t>
  </si>
  <si>
    <t xml:space="preserve">บัญชีเงินเดือนพลเรือน</t>
  </si>
  <si>
    <t xml:space="preserve">ชำนาญงาน 38,750 / ชำนาญการพิเศษ 58,390 / เชี่ยวชาญ 69,040 / อำนวยการสูง 76,800</t>
  </si>
  <si>
    <t xml:space="preserve">พ.ร.บ.ระเบียบข้าราชการพลเรือน (ฉบับที่ 2) พ.ศ. 2558</t>
  </si>
  <si>
    <t xml:space="preserve">สูตรบำนาญ</t>
  </si>
  <si>
    <t xml:space="preserve">เงินเดือนเฉลี่ย 60 เดือนสุดท้าย × เวลาราชการ ÷ 50 เพดาน 70%</t>
  </si>
  <si>
    <t xml:space="preserve">พ.ร.บ.กองทุนบำเหน็จบำนาญข้าราชการ พ.ศ. 2539</t>
  </si>
  <si>
    <t xml:space="preserve">https://www.cgd.go.th</t>
  </si>
  <si>
    <t xml:space="preserve">บำเหน็จดำรงชีพ</t>
  </si>
  <si>
    <t xml:space="preserve">15 เท่าของบำนาญ ไม่เกิน 200,000 บาท (อายุ&lt;65) รวมไม่เกิน 500,000 บาท (อายุ 65+)</t>
  </si>
  <si>
    <t xml:space="preserve">กฎกระทรวง พ.ศ. 2562</t>
  </si>
  <si>
    <t xml:space="preserve">บำเหน็จตกทอด / เงินช่วยพิเศษ</t>
  </si>
  <si>
    <t xml:space="preserve">(บำนาญ + ช.ค.บ.) × 30 หักบำเหน็จดำรงชีพ; ค่าทำศพ 3 เท่า</t>
  </si>
  <si>
    <t xml:space="preserve">กรมบัญชีกลาง</t>
  </si>
  <si>
    <t xml:space="preserve">https://newperson.doae.go.th/wp-content/uploads/2025/10/formula04.pdf</t>
  </si>
  <si>
    <t xml:space="preserve">เงินสมทบ กบข.</t>
  </si>
  <si>
    <t xml:space="preserve">รัฐจ่ายเงินสมทบ 3% + เงินชดเชย 2% ของเงินเดือน</t>
  </si>
  <si>
    <t xml:space="preserve">พ.ร.บ.กบข. 2539 / กบข.</t>
  </si>
  <si>
    <t xml:space="preserve">https://www.gpf.or.th</t>
  </si>
  <si>
    <t xml:space="preserve">ตัวคูณค่ารักษาตามอายุ / ค่าเช่าบ้าน / ค่าการศึกษาบุตร</t>
  </si>
  <si>
    <t xml:space="preserve">รูปโค้งและอัตราต่อหัวเป็นการประมาณของผู้จัดทำ สอบเทียบให้ค่าเฉลี่ยรวมใกล้เคียงยอดเบิกจริงต่อหัว</t>
  </si>
  <si>
    <t xml:space="preserve">ผู้จัดทำ — ปรับได้ที่แผ่นสมมติฐาน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</si>
</sst>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"/>
    <numFmt numFmtId="167" formatCode="0.00"/>
    <numFmt numFmtId="168" formatCode="0"/>
    <numFmt numFmtId="169" formatCode="0.000"/>
    <numFmt numFmtId="170" formatCode="#,##0.00"/>
    <numFmt numFmtId="171" formatCode="#,##0;\(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ahoma"/>
      <family val="0"/>
      <charset val="1"/>
    </font>
    <font>
      <i val="true"/>
      <sz val="9"/>
      <color rgb="FF595959"/>
      <name val="Tahoma"/>
      <family val="0"/>
      <charset val="1"/>
    </font>
    <font>
      <sz val="10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color rgb="FF008000"/>
      <name val="Tahoma"/>
      <family val="0"/>
      <charset val="1"/>
    </font>
    <font>
      <b val="true"/>
      <sz val="10"/>
      <color rgb="FF008000"/>
      <name val="Tahoma"/>
      <family val="0"/>
      <charset val="1"/>
    </font>
    <font>
      <u val="single"/>
      <sz val="9"/>
      <color rgb="FF0563C1"/>
      <name val="Tahom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F7F9FC"/>
        <bgColor rgb="FFFFFFFF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achachat.net/politics/news-2062371" TargetMode="External"/><Relationship Id="rId2" Type="http://schemas.openxmlformats.org/officeDocument/2006/relationships/hyperlink" Target="https://web.parliament.go.th/assets/portals/82/news/1713/1_1713.pdf" TargetMode="External"/><Relationship Id="rId3" Type="http://schemas.openxmlformats.org/officeDocument/2006/relationships/hyperlink" Target="https://www.prd.go.th/th/content/category/detail/id/39/iid/390710" TargetMode="External"/><Relationship Id="rId4" Type="http://schemas.openxmlformats.org/officeDocument/2006/relationships/hyperlink" Target="https://themomentum.co/feature-civil-medical-welfare/" TargetMode="External"/><Relationship Id="rId5" Type="http://schemas.openxmlformats.org/officeDocument/2006/relationships/hyperlink" Target="https://www.hfocus.org/content/2026/08/39274" TargetMode="External"/><Relationship Id="rId6" Type="http://schemas.openxmlformats.org/officeDocument/2006/relationships/hyperlink" Target="https://themomentum.co/feature-civil-medical-welfare/" TargetMode="External"/><Relationship Id="rId7" Type="http://schemas.openxmlformats.org/officeDocument/2006/relationships/hyperlink" Target="https://www.ocsc.go.th/" TargetMode="External"/><Relationship Id="rId8" Type="http://schemas.openxmlformats.org/officeDocument/2006/relationships/hyperlink" Target="https://www.ocsc.go.th/" TargetMode="External"/><Relationship Id="rId9" Type="http://schemas.openxmlformats.org/officeDocument/2006/relationships/hyperlink" Target="https://www.cgd.go.th/" TargetMode="External"/><Relationship Id="rId10" Type="http://schemas.openxmlformats.org/officeDocument/2006/relationships/hyperlink" Target="https://www.cgd.go.th/" TargetMode="External"/><Relationship Id="rId11" Type="http://schemas.openxmlformats.org/officeDocument/2006/relationships/hyperlink" Target="https://newperson.doae.go.th/wp-content/uploads/2025/10/formula04.pdf" TargetMode="External"/><Relationship Id="rId12" Type="http://schemas.openxmlformats.org/officeDocument/2006/relationships/hyperlink" Target="https://www.gpf.or.th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12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  <c r="B3" s="4"/>
    </row>
    <row r="4" customFormat="false" ht="12" hidden="false" customHeight="true" outlineLevel="0" collapsed="false">
      <c r="A4" s="5" t="s">
        <v>2</v>
      </c>
      <c r="B4" s="5"/>
    </row>
    <row r="5" customFormat="false" ht="15" hidden="false" customHeight="true" outlineLevel="0" collapsed="false">
      <c r="A5" s="4" t="s">
        <v>3</v>
      </c>
      <c r="B5" s="4"/>
    </row>
    <row r="6" customFormat="false" ht="15" hidden="false" customHeight="true" outlineLevel="0" collapsed="false">
      <c r="A6" s="4" t="s">
        <v>4</v>
      </c>
      <c r="B6" s="4"/>
    </row>
    <row r="7" customFormat="false" ht="15" hidden="false" customHeight="true" outlineLevel="0" collapsed="false">
      <c r="A7" s="4" t="s">
        <v>5</v>
      </c>
      <c r="B7" s="4"/>
    </row>
    <row r="8" customFormat="false" ht="15" hidden="false" customHeight="true" outlineLevel="0" collapsed="false">
      <c r="A8" s="4"/>
      <c r="B8" s="4"/>
    </row>
    <row r="9" customFormat="false" ht="15" hidden="false" customHeight="true" outlineLevel="0" collapsed="false">
      <c r="A9" s="5" t="s">
        <v>6</v>
      </c>
      <c r="B9" s="5"/>
    </row>
    <row r="10" customFormat="false" ht="15" hidden="false" customHeight="true" outlineLevel="0" collapsed="false">
      <c r="A10" s="6" t="s">
        <v>7</v>
      </c>
      <c r="B10" s="7" t="s">
        <v>8</v>
      </c>
    </row>
    <row r="11" customFormat="false" ht="12" hidden="false" customHeight="true" outlineLevel="0" collapsed="false">
      <c r="A11" s="6" t="s">
        <v>9</v>
      </c>
      <c r="B11" s="7" t="s">
        <v>10</v>
      </c>
    </row>
    <row r="12" customFormat="false" ht="12" hidden="false" customHeight="true" outlineLevel="0" collapsed="false">
      <c r="A12" s="6" t="s">
        <v>11</v>
      </c>
      <c r="B12" s="7" t="s">
        <v>12</v>
      </c>
    </row>
    <row r="13" customFormat="false" ht="12" hidden="false" customHeight="true" outlineLevel="0" collapsed="false">
      <c r="A13" s="6" t="s">
        <v>13</v>
      </c>
      <c r="B13" s="7" t="s">
        <v>14</v>
      </c>
    </row>
    <row r="14" customFormat="false" ht="15" hidden="false" customHeight="true" outlineLevel="0" collapsed="false">
      <c r="A14" s="6" t="s">
        <v>15</v>
      </c>
      <c r="B14" s="7" t="s">
        <v>16</v>
      </c>
    </row>
    <row r="15" customFormat="false" ht="15" hidden="false" customHeight="true" outlineLevel="0" collapsed="false">
      <c r="A15" s="6" t="s">
        <v>17</v>
      </c>
      <c r="B15" s="7" t="s">
        <v>18</v>
      </c>
    </row>
    <row r="16" customFormat="false" ht="15" hidden="false" customHeight="true" outlineLevel="0" collapsed="false">
      <c r="A16" s="4"/>
      <c r="B16" s="4"/>
    </row>
    <row r="17" customFormat="false" ht="15" hidden="false" customHeight="true" outlineLevel="0" collapsed="false">
      <c r="A17" s="5" t="s">
        <v>19</v>
      </c>
      <c r="B17" s="5"/>
    </row>
    <row r="18" customFormat="false" ht="12" hidden="false" customHeight="true" outlineLevel="0" collapsed="false">
      <c r="A18" s="6" t="s">
        <v>20</v>
      </c>
      <c r="B18" s="7" t="s">
        <v>21</v>
      </c>
    </row>
    <row r="19" customFormat="false" ht="15" hidden="false" customHeight="true" outlineLevel="0" collapsed="false">
      <c r="A19" s="6" t="s">
        <v>22</v>
      </c>
      <c r="B19" s="7" t="s">
        <v>23</v>
      </c>
    </row>
    <row r="20" customFormat="false" ht="15" hidden="false" customHeight="true" outlineLevel="0" collapsed="false">
      <c r="A20" s="6" t="s">
        <v>24</v>
      </c>
      <c r="B20" s="7" t="s">
        <v>25</v>
      </c>
    </row>
    <row r="21" customFormat="false" ht="15" hidden="false" customHeight="true" outlineLevel="0" collapsed="false">
      <c r="A21" s="4"/>
      <c r="B21" s="4"/>
    </row>
    <row r="22" customFormat="false" ht="15" hidden="false" customHeight="true" outlineLevel="0" collapsed="false">
      <c r="A22" s="5" t="s">
        <v>26</v>
      </c>
      <c r="B22" s="5"/>
    </row>
    <row r="23" customFormat="false" ht="15" hidden="false" customHeight="true" outlineLevel="0" collapsed="false">
      <c r="A23" s="6" t="s">
        <v>27</v>
      </c>
      <c r="B23" s="7" t="s">
        <v>28</v>
      </c>
    </row>
    <row r="24" customFormat="false" ht="15" hidden="false" customHeight="true" outlineLevel="0" collapsed="false">
      <c r="A24" s="6" t="s">
        <v>29</v>
      </c>
      <c r="B24" s="7" t="s">
        <v>30</v>
      </c>
    </row>
    <row r="25" customFormat="false" ht="15" hidden="false" customHeight="true" outlineLevel="0" collapsed="false">
      <c r="A25" s="6"/>
      <c r="B25" s="7" t="s">
        <v>31</v>
      </c>
    </row>
    <row r="26" customFormat="false" ht="15" hidden="false" customHeight="true" outlineLevel="0" collapsed="false">
      <c r="A26" s="6" t="s">
        <v>32</v>
      </c>
      <c r="B26" s="7" t="s">
        <v>33</v>
      </c>
    </row>
    <row r="27" customFormat="false" ht="15" hidden="false" customHeight="true" outlineLevel="0" collapsed="false">
      <c r="A27" s="6" t="s">
        <v>34</v>
      </c>
      <c r="B27" s="7" t="s">
        <v>35</v>
      </c>
    </row>
    <row r="28" customFormat="false" ht="15" hidden="false" customHeight="true" outlineLevel="0" collapsed="false">
      <c r="A28" s="6" t="s">
        <v>36</v>
      </c>
      <c r="B28" s="7" t="s">
        <v>37</v>
      </c>
    </row>
    <row r="29" customFormat="false" ht="15" hidden="false" customHeight="true" outlineLevel="0" collapsed="false">
      <c r="A29" s="6" t="s">
        <v>38</v>
      </c>
      <c r="B29" s="7" t="s">
        <v>39</v>
      </c>
    </row>
    <row r="30" customFormat="false" ht="15" hidden="false" customHeight="true" outlineLevel="0" collapsed="false">
      <c r="A30" s="6"/>
      <c r="B30" s="7" t="s">
        <v>40</v>
      </c>
    </row>
    <row r="31" customFormat="false" ht="15" hidden="false" customHeight="true" outlineLevel="0" collapsed="false">
      <c r="A31" s="6"/>
      <c r="B31" s="7" t="s">
        <v>41</v>
      </c>
    </row>
    <row r="32" customFormat="false" ht="15" hidden="false" customHeight="true" outlineLevel="0" collapsed="false">
      <c r="A32" s="6" t="s">
        <v>42</v>
      </c>
      <c r="B32" s="7" t="s">
        <v>43</v>
      </c>
    </row>
    <row r="33" customFormat="false" ht="15" hidden="false" customHeight="true" outlineLevel="0" collapsed="false">
      <c r="A33" s="6" t="s">
        <v>44</v>
      </c>
      <c r="B33" s="7" t="s">
        <v>45</v>
      </c>
    </row>
    <row r="34" customFormat="false" ht="15" hidden="false" customHeight="true" outlineLevel="0" collapsed="false">
      <c r="A34" s="6" t="s">
        <v>46</v>
      </c>
      <c r="B34" s="7" t="s">
        <v>47</v>
      </c>
    </row>
  </sheetData>
  <mergeCells count="11">
    <mergeCell ref="A3:B3"/>
    <mergeCell ref="A4:B4"/>
    <mergeCell ref="A5:B5"/>
    <mergeCell ref="A6:B6"/>
    <mergeCell ref="A7:B7"/>
    <mergeCell ref="A8:B8"/>
    <mergeCell ref="A9:B9"/>
    <mergeCell ref="A16:B16"/>
    <mergeCell ref="A17:B17"/>
    <mergeCell ref="A21:B21"/>
    <mergeCell ref="A22:B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7"/>
    <col collapsed="false" customWidth="true" hidden="false" outlineLevel="0" max="5" min="5" style="1" width="15"/>
    <col collapsed="false" customWidth="true" hidden="false" outlineLevel="0" max="6" min="6" style="1" width="84"/>
  </cols>
  <sheetData>
    <row r="1" customFormat="false" ht="15.75" hidden="false" customHeight="true" outlineLevel="0" collapsed="false">
      <c r="A1" s="2" t="s">
        <v>48</v>
      </c>
    </row>
    <row r="2" customFormat="false" ht="15" hidden="false" customHeight="true" outlineLevel="0" collapsed="false">
      <c r="A2" s="3" t="s">
        <v>49</v>
      </c>
    </row>
    <row r="4" customFormat="false" ht="15" hidden="false" customHeight="true" outlineLevel="0" collapsed="false">
      <c r="A4" s="8" t="s">
        <v>50</v>
      </c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</row>
    <row r="5" customFormat="false" ht="15" hidden="false" customHeight="true" outlineLevel="0" collapsed="false">
      <c r="A5" s="9" t="s">
        <v>56</v>
      </c>
      <c r="B5" s="10"/>
      <c r="C5" s="10"/>
      <c r="D5" s="10"/>
      <c r="E5" s="10"/>
      <c r="F5" s="10"/>
    </row>
    <row r="6" customFormat="false" ht="20.25" hidden="false" customHeight="true" outlineLevel="0" collapsed="false">
      <c r="A6" s="7" t="s">
        <v>57</v>
      </c>
      <c r="B6" s="11" t="s">
        <v>58</v>
      </c>
      <c r="C6" s="11" t="s">
        <v>59</v>
      </c>
      <c r="D6" s="11" t="s">
        <v>60</v>
      </c>
      <c r="E6" s="3"/>
      <c r="F6" s="12" t="s">
        <v>61</v>
      </c>
    </row>
    <row r="7" customFormat="false" ht="15" hidden="false" customHeight="true" outlineLevel="0" collapsed="false">
      <c r="A7" s="7" t="s">
        <v>62</v>
      </c>
      <c r="B7" s="13" t="n">
        <v>22</v>
      </c>
      <c r="C7" s="13" t="n">
        <v>25</v>
      </c>
      <c r="D7" s="13" t="n">
        <v>24</v>
      </c>
      <c r="E7" s="3" t="s">
        <v>63</v>
      </c>
      <c r="F7" s="12" t="s">
        <v>64</v>
      </c>
    </row>
    <row r="8" customFormat="false" ht="15" hidden="false" customHeight="true" outlineLevel="0" collapsed="false">
      <c r="A8" s="7" t="s">
        <v>65</v>
      </c>
      <c r="B8" s="13" t="n">
        <v>60</v>
      </c>
      <c r="C8" s="13" t="n">
        <v>60</v>
      </c>
      <c r="D8" s="13" t="n">
        <v>60</v>
      </c>
      <c r="E8" s="3" t="s">
        <v>63</v>
      </c>
      <c r="F8" s="12" t="s">
        <v>66</v>
      </c>
    </row>
    <row r="9" customFormat="false" ht="15" hidden="false" customHeight="true" outlineLevel="0" collapsed="false">
      <c r="A9" s="7" t="s">
        <v>67</v>
      </c>
      <c r="B9" s="13" t="n">
        <v>78</v>
      </c>
      <c r="C9" s="13" t="n">
        <v>82</v>
      </c>
      <c r="D9" s="13" t="n">
        <v>85</v>
      </c>
      <c r="E9" s="3" t="s">
        <v>63</v>
      </c>
      <c r="F9" s="12" t="s">
        <v>68</v>
      </c>
    </row>
    <row r="10" customFormat="false" ht="15" hidden="false" customHeight="true" outlineLevel="0" collapsed="false">
      <c r="A10" s="7" t="s">
        <v>69</v>
      </c>
      <c r="B10" s="14" t="n">
        <f aca="false">B8-B7</f>
        <v>38</v>
      </c>
      <c r="C10" s="14" t="n">
        <f aca="false">C8-C7</f>
        <v>35</v>
      </c>
      <c r="D10" s="14" t="n">
        <f aca="false">D8-D7</f>
        <v>36</v>
      </c>
      <c r="E10" s="3" t="s">
        <v>63</v>
      </c>
      <c r="F10" s="12" t="s">
        <v>70</v>
      </c>
    </row>
    <row r="11" customFormat="false" ht="15" hidden="false" customHeight="true" outlineLevel="0" collapsed="false">
      <c r="A11" s="7" t="s">
        <v>71</v>
      </c>
      <c r="B11" s="14" t="n">
        <f aca="false">B9-B8+1</f>
        <v>19</v>
      </c>
      <c r="C11" s="14" t="n">
        <f aca="false">C9-C8+1</f>
        <v>23</v>
      </c>
      <c r="D11" s="14" t="n">
        <f aca="false">D9-D8+1</f>
        <v>26</v>
      </c>
      <c r="E11" s="3" t="s">
        <v>63</v>
      </c>
      <c r="F11" s="12" t="s">
        <v>72</v>
      </c>
    </row>
    <row r="12" customFormat="false" ht="15" hidden="false" customHeight="true" outlineLevel="0" collapsed="false">
      <c r="A12" s="9" t="s">
        <v>73</v>
      </c>
      <c r="B12" s="10"/>
      <c r="C12" s="10"/>
      <c r="D12" s="10"/>
      <c r="E12" s="10"/>
      <c r="F12" s="10"/>
    </row>
    <row r="13" customFormat="false" ht="15" hidden="false" customHeight="true" outlineLevel="0" collapsed="false">
      <c r="A13" s="7" t="s">
        <v>74</v>
      </c>
      <c r="B13" s="13" t="n">
        <v>13920</v>
      </c>
      <c r="C13" s="13" t="n">
        <v>18220</v>
      </c>
      <c r="D13" s="13" t="n">
        <v>21180</v>
      </c>
      <c r="E13" s="3" t="s">
        <v>75</v>
      </c>
      <c r="F13" s="12" t="s">
        <v>76</v>
      </c>
    </row>
    <row r="14" customFormat="false" ht="15" hidden="false" customHeight="true" outlineLevel="0" collapsed="false">
      <c r="A14" s="7" t="s">
        <v>77</v>
      </c>
      <c r="B14" s="13" t="n">
        <v>36000</v>
      </c>
      <c r="C14" s="13" t="n">
        <v>52000</v>
      </c>
      <c r="D14" s="13" t="n">
        <v>74000</v>
      </c>
      <c r="E14" s="3" t="s">
        <v>75</v>
      </c>
      <c r="F14" s="12" t="s">
        <v>78</v>
      </c>
    </row>
    <row r="15" customFormat="false" ht="15" hidden="false" customHeight="true" outlineLevel="0" collapsed="false">
      <c r="A15" s="7" t="s">
        <v>79</v>
      </c>
      <c r="B15" s="15" t="n">
        <f aca="false">(B14/B13)^(1/(B10-1))-1</f>
        <v>0.026013467138454</v>
      </c>
      <c r="C15" s="15" t="n">
        <f aca="false">(C14/C13)^(1/(C10-1))-1</f>
        <v>0.0313254487696526</v>
      </c>
      <c r="D15" s="15" t="n">
        <f aca="false">(D14/D13)^(1/(D10-1))-1</f>
        <v>0.0363895416908362</v>
      </c>
      <c r="E15" s="3" t="s">
        <v>80</v>
      </c>
      <c r="F15" s="12" t="s">
        <v>81</v>
      </c>
    </row>
    <row r="16" customFormat="false" ht="15" hidden="false" customHeight="true" outlineLevel="0" collapsed="false">
      <c r="A16" s="7" t="s">
        <v>82</v>
      </c>
      <c r="B16" s="13" t="n">
        <v>0</v>
      </c>
      <c r="C16" s="13" t="n">
        <v>3500</v>
      </c>
      <c r="D16" s="13" t="n">
        <v>5600</v>
      </c>
      <c r="E16" s="3" t="s">
        <v>75</v>
      </c>
      <c r="F16" s="12" t="s">
        <v>83</v>
      </c>
    </row>
    <row r="17" customFormat="false" ht="15" hidden="false" customHeight="true" outlineLevel="0" collapsed="false">
      <c r="A17" s="7" t="s">
        <v>84</v>
      </c>
      <c r="B17" s="13" t="n">
        <v>999</v>
      </c>
      <c r="C17" s="13" t="n">
        <v>8</v>
      </c>
      <c r="D17" s="13" t="n">
        <v>12</v>
      </c>
      <c r="E17" s="3" t="s">
        <v>85</v>
      </c>
      <c r="F17" s="12" t="s">
        <v>86</v>
      </c>
    </row>
    <row r="18" customFormat="false" ht="15" hidden="false" customHeight="true" outlineLevel="0" collapsed="false">
      <c r="A18" s="7" t="s">
        <v>87</v>
      </c>
      <c r="B18" s="13" t="n">
        <v>0</v>
      </c>
      <c r="C18" s="13" t="n">
        <v>5600</v>
      </c>
      <c r="D18" s="13" t="n">
        <v>20000</v>
      </c>
      <c r="E18" s="3" t="s">
        <v>75</v>
      </c>
      <c r="F18" s="12" t="s">
        <v>88</v>
      </c>
    </row>
    <row r="19" customFormat="false" ht="15" hidden="false" customHeight="true" outlineLevel="0" collapsed="false">
      <c r="A19" s="7" t="s">
        <v>89</v>
      </c>
      <c r="B19" s="13" t="n">
        <v>999</v>
      </c>
      <c r="C19" s="13" t="n">
        <v>20</v>
      </c>
      <c r="D19" s="13" t="n">
        <v>24</v>
      </c>
      <c r="E19" s="3" t="s">
        <v>85</v>
      </c>
      <c r="F19" s="12"/>
    </row>
    <row r="20" customFormat="false" ht="20.25" hidden="false" customHeight="true" outlineLevel="0" collapsed="false">
      <c r="A20" s="7" t="s">
        <v>90</v>
      </c>
      <c r="B20" s="16" t="n">
        <v>0.03</v>
      </c>
      <c r="C20" s="16" t="n">
        <v>0.03</v>
      </c>
      <c r="D20" s="16" t="n">
        <v>0.04</v>
      </c>
      <c r="E20" s="3" t="s">
        <v>91</v>
      </c>
      <c r="F20" s="12" t="s">
        <v>92</v>
      </c>
    </row>
    <row r="21" customFormat="false" ht="15" hidden="false" customHeight="true" outlineLevel="0" collapsed="false">
      <c r="A21" s="7" t="s">
        <v>93</v>
      </c>
      <c r="B21" s="16" t="n">
        <v>0.05</v>
      </c>
      <c r="C21" s="16" t="n">
        <v>0.05</v>
      </c>
      <c r="D21" s="16" t="n">
        <v>0.05</v>
      </c>
      <c r="E21" s="3" t="s">
        <v>91</v>
      </c>
      <c r="F21" s="12" t="s">
        <v>94</v>
      </c>
    </row>
    <row r="22" customFormat="false" ht="15" hidden="false" customHeight="true" outlineLevel="0" collapsed="false">
      <c r="A22" s="7" t="s">
        <v>95</v>
      </c>
      <c r="B22" s="13" t="n">
        <v>0</v>
      </c>
      <c r="C22" s="13" t="n">
        <v>4000</v>
      </c>
      <c r="D22" s="13" t="n">
        <v>5000</v>
      </c>
      <c r="E22" s="3" t="s">
        <v>75</v>
      </c>
      <c r="F22" s="12" t="s">
        <v>96</v>
      </c>
    </row>
    <row r="23" customFormat="false" ht="15" hidden="false" customHeight="true" outlineLevel="0" collapsed="false">
      <c r="A23" s="7" t="s">
        <v>97</v>
      </c>
      <c r="B23" s="13" t="n">
        <v>0</v>
      </c>
      <c r="C23" s="13" t="n">
        <v>10</v>
      </c>
      <c r="D23" s="13" t="n">
        <v>12</v>
      </c>
      <c r="E23" s="3" t="s">
        <v>63</v>
      </c>
      <c r="F23" s="12"/>
    </row>
    <row r="24" customFormat="false" ht="15" hidden="false" customHeight="true" outlineLevel="0" collapsed="false">
      <c r="A24" s="9" t="s">
        <v>98</v>
      </c>
      <c r="B24" s="10"/>
      <c r="C24" s="10"/>
      <c r="D24" s="10"/>
      <c r="E24" s="10"/>
      <c r="F24" s="10"/>
    </row>
    <row r="25" customFormat="false" ht="15" hidden="false" customHeight="true" outlineLevel="0" collapsed="false">
      <c r="A25" s="7" t="s">
        <v>99</v>
      </c>
      <c r="B25" s="13" t="n">
        <v>0</v>
      </c>
      <c r="C25" s="13" t="n">
        <v>1</v>
      </c>
      <c r="D25" s="13" t="n">
        <v>1</v>
      </c>
      <c r="E25" s="3" t="s">
        <v>100</v>
      </c>
      <c r="F25" s="12" t="s">
        <v>101</v>
      </c>
    </row>
    <row r="26" customFormat="false" ht="15" hidden="false" customHeight="true" outlineLevel="0" collapsed="false">
      <c r="A26" s="7" t="s">
        <v>102</v>
      </c>
      <c r="B26" s="13" t="n">
        <v>1</v>
      </c>
      <c r="C26" s="13" t="n">
        <v>2</v>
      </c>
      <c r="D26" s="13" t="n">
        <v>2</v>
      </c>
      <c r="E26" s="3" t="s">
        <v>100</v>
      </c>
      <c r="F26" s="12" t="s">
        <v>103</v>
      </c>
    </row>
    <row r="27" customFormat="false" ht="15" hidden="false" customHeight="true" outlineLevel="0" collapsed="false">
      <c r="A27" s="7" t="s">
        <v>104</v>
      </c>
      <c r="B27" s="13" t="n">
        <v>1</v>
      </c>
      <c r="C27" s="13" t="n">
        <v>2</v>
      </c>
      <c r="D27" s="13" t="n">
        <v>2</v>
      </c>
      <c r="E27" s="3" t="s">
        <v>100</v>
      </c>
      <c r="F27" s="12" t="s">
        <v>105</v>
      </c>
    </row>
    <row r="28" customFormat="false" ht="15" hidden="false" customHeight="true" outlineLevel="0" collapsed="false">
      <c r="A28" s="7" t="s">
        <v>106</v>
      </c>
      <c r="B28" s="13" t="n">
        <v>12000</v>
      </c>
      <c r="C28" s="13" t="n">
        <v>25000</v>
      </c>
      <c r="D28" s="13" t="n">
        <v>25000</v>
      </c>
      <c r="E28" s="3" t="s">
        <v>107</v>
      </c>
      <c r="F28" s="12" t="s">
        <v>108</v>
      </c>
    </row>
    <row r="29" customFormat="false" ht="15" hidden="false" customHeight="true" outlineLevel="0" collapsed="false">
      <c r="A29" s="7" t="s">
        <v>109</v>
      </c>
      <c r="B29" s="13" t="n">
        <v>10</v>
      </c>
      <c r="C29" s="13" t="n">
        <v>8</v>
      </c>
      <c r="D29" s="13" t="n">
        <v>8</v>
      </c>
      <c r="E29" s="3" t="s">
        <v>85</v>
      </c>
      <c r="F29" s="12"/>
    </row>
    <row r="30" customFormat="false" ht="15" hidden="false" customHeight="true" outlineLevel="0" collapsed="false">
      <c r="A30" s="7" t="s">
        <v>97</v>
      </c>
      <c r="B30" s="13" t="n">
        <v>15</v>
      </c>
      <c r="C30" s="13" t="n">
        <v>18</v>
      </c>
      <c r="D30" s="13" t="n">
        <v>18</v>
      </c>
      <c r="E30" s="3" t="s">
        <v>63</v>
      </c>
      <c r="F30" s="12"/>
    </row>
    <row r="31" customFormat="false" ht="15" hidden="false" customHeight="true" outlineLevel="0" collapsed="false">
      <c r="A31" s="7" t="s">
        <v>110</v>
      </c>
      <c r="B31" s="13" t="n">
        <v>10</v>
      </c>
      <c r="C31" s="13" t="n">
        <v>8</v>
      </c>
      <c r="D31" s="13" t="n">
        <v>8</v>
      </c>
      <c r="E31" s="3" t="s">
        <v>85</v>
      </c>
      <c r="F31" s="12" t="s">
        <v>111</v>
      </c>
    </row>
    <row r="32" customFormat="false" ht="15" hidden="false" customHeight="true" outlineLevel="0" collapsed="false">
      <c r="A32" s="7" t="s">
        <v>112</v>
      </c>
      <c r="B32" s="13" t="n">
        <v>28</v>
      </c>
      <c r="C32" s="13" t="n">
        <v>28</v>
      </c>
      <c r="D32" s="13" t="n">
        <v>28</v>
      </c>
      <c r="E32" s="3" t="s">
        <v>63</v>
      </c>
      <c r="F32" s="12" t="s">
        <v>113</v>
      </c>
    </row>
    <row r="33" customFormat="false" ht="15" hidden="false" customHeight="true" outlineLevel="0" collapsed="false">
      <c r="A33" s="7" t="s">
        <v>114</v>
      </c>
      <c r="B33" s="13" t="n">
        <v>80</v>
      </c>
      <c r="C33" s="13" t="n">
        <v>82</v>
      </c>
      <c r="D33" s="13" t="n">
        <v>82</v>
      </c>
      <c r="E33" s="3" t="s">
        <v>63</v>
      </c>
      <c r="F33" s="12" t="s">
        <v>115</v>
      </c>
    </row>
    <row r="34" customFormat="false" ht="15" hidden="false" customHeight="true" outlineLevel="0" collapsed="false">
      <c r="A34" s="7" t="s">
        <v>116</v>
      </c>
      <c r="B34" s="16" t="n">
        <v>1</v>
      </c>
      <c r="C34" s="16" t="n">
        <v>1</v>
      </c>
      <c r="D34" s="16" t="n">
        <v>1</v>
      </c>
      <c r="E34" s="3" t="s">
        <v>117</v>
      </c>
      <c r="F34" s="12" t="s">
        <v>118</v>
      </c>
    </row>
    <row r="36" customFormat="false" ht="15" hidden="false" customHeight="true" outlineLevel="0" collapsed="false">
      <c r="A36" s="17" t="s">
        <v>119</v>
      </c>
      <c r="B36" s="18"/>
      <c r="C36" s="18"/>
      <c r="D36" s="18"/>
      <c r="E36" s="18"/>
      <c r="F36" s="18"/>
    </row>
    <row r="37" customFormat="false" ht="15" hidden="false" customHeight="true" outlineLevel="0" collapsed="false">
      <c r="A37" s="7" t="s">
        <v>120</v>
      </c>
      <c r="B37" s="13" t="n">
        <v>10000</v>
      </c>
      <c r="F37" s="12" t="s">
        <v>121</v>
      </c>
    </row>
    <row r="38" customFormat="false" ht="15" hidden="false" customHeight="true" outlineLevel="0" collapsed="false">
      <c r="A38" s="7" t="s">
        <v>122</v>
      </c>
      <c r="B38" s="13" t="n">
        <v>2569</v>
      </c>
      <c r="F38" s="12" t="s">
        <v>123</v>
      </c>
    </row>
    <row r="39" customFormat="false" ht="15" hidden="false" customHeight="true" outlineLevel="0" collapsed="false">
      <c r="A39" s="7" t="s">
        <v>124</v>
      </c>
      <c r="B39" s="16" t="n">
        <v>0.02</v>
      </c>
      <c r="F39" s="12" t="s">
        <v>125</v>
      </c>
    </row>
    <row r="40" customFormat="false" ht="15" hidden="false" customHeight="true" outlineLevel="0" collapsed="false">
      <c r="A40" s="7" t="s">
        <v>126</v>
      </c>
      <c r="B40" s="16" t="n">
        <v>0.02</v>
      </c>
      <c r="F40" s="12" t="s">
        <v>127</v>
      </c>
    </row>
    <row r="41" customFormat="false" ht="15" hidden="false" customHeight="true" outlineLevel="0" collapsed="false">
      <c r="A41" s="7" t="s">
        <v>128</v>
      </c>
      <c r="B41" s="16" t="n">
        <v>0.02</v>
      </c>
      <c r="F41" s="12" t="s">
        <v>129</v>
      </c>
    </row>
    <row r="42" customFormat="false" ht="32.25" hidden="false" customHeight="true" outlineLevel="0" collapsed="false">
      <c r="A42" s="7" t="s">
        <v>130</v>
      </c>
      <c r="B42" s="16" t="n">
        <v>0.01</v>
      </c>
      <c r="F42" s="12" t="s">
        <v>131</v>
      </c>
    </row>
    <row r="43" customFormat="false" ht="15" hidden="false" customHeight="true" outlineLevel="0" collapsed="false">
      <c r="A43" s="7" t="s">
        <v>132</v>
      </c>
      <c r="B43" s="16" t="n">
        <v>0.7</v>
      </c>
      <c r="F43" s="12" t="s">
        <v>133</v>
      </c>
    </row>
    <row r="44" customFormat="false" ht="15" hidden="false" customHeight="true" outlineLevel="0" collapsed="false">
      <c r="A44" s="7" t="s">
        <v>134</v>
      </c>
      <c r="B44" s="13" t="n">
        <v>50</v>
      </c>
      <c r="F44" s="12" t="s">
        <v>135</v>
      </c>
    </row>
    <row r="45" customFormat="false" ht="21.75" hidden="false" customHeight="true" outlineLevel="0" collapsed="false">
      <c r="A45" s="7" t="s">
        <v>136</v>
      </c>
      <c r="B45" s="13" t="n">
        <v>11000</v>
      </c>
      <c r="F45" s="12" t="s">
        <v>137</v>
      </c>
    </row>
    <row r="46" customFormat="false" ht="15" hidden="false" customHeight="true" outlineLevel="0" collapsed="false">
      <c r="A46" s="7" t="s">
        <v>138</v>
      </c>
      <c r="B46" s="13" t="n">
        <v>200000</v>
      </c>
      <c r="F46" s="12" t="s">
        <v>139</v>
      </c>
    </row>
    <row r="47" customFormat="false" ht="15" hidden="false" customHeight="true" outlineLevel="0" collapsed="false">
      <c r="A47" s="7" t="s">
        <v>140</v>
      </c>
      <c r="B47" s="13" t="n">
        <v>400000</v>
      </c>
      <c r="F47" s="12" t="s">
        <v>141</v>
      </c>
    </row>
    <row r="48" customFormat="false" ht="15" hidden="false" customHeight="true" outlineLevel="0" collapsed="false">
      <c r="A48" s="7" t="s">
        <v>142</v>
      </c>
      <c r="B48" s="13" t="n">
        <v>500000</v>
      </c>
      <c r="F48" s="12" t="s">
        <v>143</v>
      </c>
    </row>
    <row r="49" customFormat="false" ht="15" hidden="false" customHeight="true" outlineLevel="0" collapsed="false">
      <c r="A49" s="7" t="s">
        <v>144</v>
      </c>
      <c r="B49" s="13" t="n">
        <v>15</v>
      </c>
      <c r="F49" s="12" t="s">
        <v>145</v>
      </c>
    </row>
    <row r="50" customFormat="false" ht="15" hidden="false" customHeight="true" outlineLevel="0" collapsed="false">
      <c r="A50" s="7" t="s">
        <v>146</v>
      </c>
      <c r="B50" s="13" t="n">
        <v>30</v>
      </c>
      <c r="F50" s="12" t="s">
        <v>147</v>
      </c>
    </row>
    <row r="51" customFormat="false" ht="15" hidden="false" customHeight="true" outlineLevel="0" collapsed="false">
      <c r="A51" s="7" t="s">
        <v>148</v>
      </c>
      <c r="B51" s="13" t="n">
        <v>3</v>
      </c>
      <c r="F51" s="12" t="s">
        <v>149</v>
      </c>
    </row>
    <row r="52" customFormat="false" ht="15" hidden="false" customHeight="true" outlineLevel="0" collapsed="false">
      <c r="A52" s="7" t="s">
        <v>150</v>
      </c>
      <c r="B52" s="13" t="n">
        <v>1700000</v>
      </c>
      <c r="F52" s="12" t="s">
        <v>151</v>
      </c>
    </row>
    <row r="53" customFormat="false" ht="15" hidden="false" customHeight="true" outlineLevel="0" collapsed="false">
      <c r="A53" s="7" t="s">
        <v>152</v>
      </c>
      <c r="B53" s="13" t="n">
        <v>3780600</v>
      </c>
      <c r="F53" s="12" t="s">
        <v>153</v>
      </c>
    </row>
    <row r="54" customFormat="false" ht="15" hidden="false" customHeight="true" outlineLevel="0" collapsed="false">
      <c r="A54" s="7" t="s">
        <v>154</v>
      </c>
      <c r="B54" s="13" t="n">
        <v>106000</v>
      </c>
      <c r="F54" s="12" t="s">
        <v>155</v>
      </c>
    </row>
    <row r="55" customFormat="false" ht="15" hidden="false" customHeight="true" outlineLevel="0" collapsed="false">
      <c r="A55" s="7" t="s">
        <v>156</v>
      </c>
      <c r="B55" s="13" t="n">
        <v>5000000</v>
      </c>
      <c r="F55" s="12" t="s">
        <v>157</v>
      </c>
    </row>
    <row r="57" customFormat="false" ht="15" hidden="false" customHeight="true" outlineLevel="0" collapsed="false">
      <c r="A57" s="17" t="s">
        <v>158</v>
      </c>
      <c r="B57" s="18"/>
      <c r="C57" s="18"/>
      <c r="D57" s="18"/>
      <c r="E57" s="18"/>
      <c r="F57" s="18"/>
    </row>
    <row r="58" customFormat="false" ht="15" hidden="false" customHeight="true" outlineLevel="0" collapsed="false">
      <c r="A58" s="6" t="s">
        <v>159</v>
      </c>
      <c r="B58" s="6" t="s">
        <v>160</v>
      </c>
      <c r="C58" s="6" t="s">
        <v>161</v>
      </c>
    </row>
    <row r="59" customFormat="false" ht="15" hidden="false" customHeight="true" outlineLevel="0" collapsed="false">
      <c r="A59" s="13" t="n">
        <v>0</v>
      </c>
      <c r="B59" s="19" t="n">
        <v>0.6</v>
      </c>
      <c r="C59" s="14" t="n">
        <f aca="false">$B$37*B59</f>
        <v>6000</v>
      </c>
      <c r="F59" s="3" t="s">
        <v>162</v>
      </c>
    </row>
    <row r="60" customFormat="false" ht="15" hidden="false" customHeight="true" outlineLevel="0" collapsed="false">
      <c r="A60" s="13" t="n">
        <v>20</v>
      </c>
      <c r="B60" s="19" t="n">
        <v>0.8</v>
      </c>
      <c r="C60" s="14" t="n">
        <f aca="false">$B$37*B60</f>
        <v>8000</v>
      </c>
      <c r="F60" s="3" t="s">
        <v>163</v>
      </c>
    </row>
    <row r="61" customFormat="false" ht="15" hidden="false" customHeight="true" outlineLevel="0" collapsed="false">
      <c r="A61" s="13" t="n">
        <v>45</v>
      </c>
      <c r="B61" s="19" t="n">
        <v>1.4</v>
      </c>
      <c r="C61" s="14" t="n">
        <f aca="false">$B$37*B61</f>
        <v>14000</v>
      </c>
      <c r="F61" s="3" t="s">
        <v>164</v>
      </c>
    </row>
    <row r="62" customFormat="false" ht="15" hidden="false" customHeight="true" outlineLevel="0" collapsed="false">
      <c r="A62" s="13" t="n">
        <v>60</v>
      </c>
      <c r="B62" s="19" t="n">
        <v>2.8</v>
      </c>
      <c r="C62" s="14" t="n">
        <f aca="false">$B$37*B62</f>
        <v>28000</v>
      </c>
      <c r="F62" s="3" t="s">
        <v>165</v>
      </c>
    </row>
    <row r="63" customFormat="false" ht="15" hidden="false" customHeight="true" outlineLevel="0" collapsed="false">
      <c r="A63" s="13" t="n">
        <v>70</v>
      </c>
      <c r="B63" s="19" t="n">
        <v>4.5</v>
      </c>
      <c r="C63" s="14" t="n">
        <f aca="false">$B$37*B63</f>
        <v>45000</v>
      </c>
      <c r="F63" s="3" t="s">
        <v>166</v>
      </c>
    </row>
    <row r="64" customFormat="false" ht="15" hidden="false" customHeight="true" outlineLevel="0" collapsed="false">
      <c r="A64" s="13" t="n">
        <v>80</v>
      </c>
      <c r="B64" s="19" t="n">
        <v>6</v>
      </c>
      <c r="C64" s="14" t="n">
        <f aca="false">$B$37*B64</f>
        <v>60000</v>
      </c>
      <c r="F64" s="3" t="s">
        <v>167</v>
      </c>
    </row>
    <row r="65" customFormat="false" ht="15" hidden="false" customHeight="true" outlineLevel="0" collapsed="false">
      <c r="A65" s="3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19" min="19" style="1" width="14"/>
    <col collapsed="false" customWidth="true" hidden="false" outlineLevel="0" max="21" min="20" style="1" width="16"/>
    <col collapsed="false" customWidth="true" hidden="false" outlineLevel="0" max="22" min="22" style="1" width="14"/>
    <col collapsed="false" customWidth="true" hidden="false" outlineLevel="0" max="23" min="23" style="1" width="9"/>
    <col collapsed="false" customWidth="true" hidden="false" outlineLevel="0" max="24" min="24" style="1" width="14"/>
    <col collapsed="false" customWidth="true" hidden="false" outlineLevel="0" max="27" min="27" style="1" width="38"/>
    <col collapsed="false" customWidth="true" hidden="false" outlineLevel="0" max="30" min="30" style="1" width="14"/>
  </cols>
  <sheetData>
    <row r="1" customFormat="false" ht="15.75" hidden="false" customHeight="true" outlineLevel="0" collapsed="false">
      <c r="A1" s="2" t="s">
        <v>169</v>
      </c>
    </row>
    <row r="2" customFormat="false" ht="15" hidden="false" customHeight="true" outlineLevel="0" collapsed="false">
      <c r="A2" s="3" t="s">
        <v>170</v>
      </c>
      <c r="AA2" s="6" t="s">
        <v>171</v>
      </c>
    </row>
    <row r="3" customFormat="false" ht="15" hidden="false" customHeight="true" outlineLevel="0" collapsed="false">
      <c r="AA3" s="7" t="s">
        <v>172</v>
      </c>
      <c r="AD3" s="14" t="n">
        <f aca="false">AVERAGE(F42:F46)</f>
        <v>68533.1089622649</v>
      </c>
    </row>
    <row r="4" customFormat="false" ht="15" hidden="false" customHeight="true" outlineLevel="0" collapsed="false">
      <c r="AA4" s="7" t="s">
        <v>173</v>
      </c>
      <c r="AD4" s="14" t="n">
        <f aca="false">MIN(AD3*สมมติฐาน!$B$10/สมมติฐาน!$B$44,AD3*สมมติฐาน!$B$43)</f>
        <v>47973.1762735855</v>
      </c>
    </row>
    <row r="5" customFormat="false" ht="15" hidden="false" customHeight="true" outlineLevel="0" collapsed="false">
      <c r="AA5" s="7" t="s">
        <v>174</v>
      </c>
      <c r="AD5" s="14" t="n">
        <f aca="false">MAX(0,สมมติฐาน!$B$45*(1+สมมติฐาน!$B$39)^(สมมติฐาน!$B$10-1)-AD4)</f>
        <v>0</v>
      </c>
    </row>
    <row r="6" customFormat="false" ht="15" hidden="false" customHeight="true" outlineLevel="0" collapsed="false">
      <c r="AA6" s="7" t="s">
        <v>175</v>
      </c>
      <c r="AD6" s="14" t="n">
        <f aca="false">AD4+AD5</f>
        <v>47973.1762735855</v>
      </c>
    </row>
    <row r="7" customFormat="false" ht="15" hidden="false" customHeight="true" outlineLevel="0" collapsed="false">
      <c r="AA7" s="7" t="s">
        <v>176</v>
      </c>
      <c r="AD7" s="14" t="n">
        <f aca="false">MIN(AD4*สมมติฐาน!$B$49,สมมติฐาน!$B$46)</f>
        <v>200000</v>
      </c>
    </row>
    <row r="8" customFormat="false" ht="43.5" hidden="false" customHeight="true" outlineLevel="0" collapsed="false">
      <c r="A8" s="8" t="s">
        <v>85</v>
      </c>
      <c r="B8" s="8" t="s">
        <v>177</v>
      </c>
      <c r="C8" s="8" t="s">
        <v>178</v>
      </c>
      <c r="D8" s="8" t="s">
        <v>179</v>
      </c>
      <c r="E8" s="8" t="s">
        <v>180</v>
      </c>
      <c r="F8" s="8" t="s">
        <v>181</v>
      </c>
      <c r="G8" s="8" t="s">
        <v>182</v>
      </c>
      <c r="H8" s="8" t="s">
        <v>183</v>
      </c>
      <c r="I8" s="8" t="s">
        <v>184</v>
      </c>
      <c r="J8" s="8" t="s">
        <v>185</v>
      </c>
      <c r="K8" s="8" t="s">
        <v>186</v>
      </c>
      <c r="L8" s="8" t="s">
        <v>187</v>
      </c>
      <c r="M8" s="8" t="s">
        <v>188</v>
      </c>
      <c r="N8" s="8" t="s">
        <v>189</v>
      </c>
      <c r="O8" s="8" t="s">
        <v>190</v>
      </c>
      <c r="P8" s="8" t="s">
        <v>191</v>
      </c>
      <c r="Q8" s="8" t="s">
        <v>192</v>
      </c>
      <c r="R8" s="8" t="s">
        <v>193</v>
      </c>
      <c r="S8" s="8" t="s">
        <v>194</v>
      </c>
      <c r="T8" s="8" t="s">
        <v>195</v>
      </c>
      <c r="U8" s="8" t="s">
        <v>196</v>
      </c>
      <c r="V8" s="8" t="s">
        <v>197</v>
      </c>
      <c r="W8" s="8" t="s">
        <v>198</v>
      </c>
      <c r="X8" s="8" t="s">
        <v>199</v>
      </c>
      <c r="AA8" s="7" t="s">
        <v>200</v>
      </c>
      <c r="AD8" s="14" t="n">
        <f aca="false">MIN(AD4*สมมติฐาน!$B$49,สมมติฐาน!$B$47)</f>
        <v>400000</v>
      </c>
    </row>
    <row r="9" customFormat="false" ht="15" hidden="false" customHeight="true" outlineLevel="0" collapsed="false">
      <c r="A9" s="20" t="n">
        <v>1</v>
      </c>
      <c r="B9" s="20" t="n">
        <f aca="false">สมมติฐาน!$B$38+A9-1</f>
        <v>2569</v>
      </c>
      <c r="C9" s="20" t="n">
        <f aca="false">สมมติฐาน!$B$7+A9-1</f>
        <v>22</v>
      </c>
      <c r="D9" s="21" t="str">
        <f aca="false">IF(C9&lt;สมมติฐาน!$B$8,"รับราชการ","รับบำนาญ")</f>
        <v>รับราชการ</v>
      </c>
      <c r="E9" s="22" t="n">
        <f aca="false">(1+สมมติฐาน!$B$39)^(A9-1)</f>
        <v>1</v>
      </c>
      <c r="F9" s="14" t="n">
        <f aca="false">IF(D9="รับราชการ",สมมติฐาน!$B$13*(1+สมมติฐาน!$B$15)^(A9-1)*E9,0)</f>
        <v>13920</v>
      </c>
      <c r="G9" s="14" t="n">
        <f aca="false">F9*12</f>
        <v>167040</v>
      </c>
      <c r="H9" s="14" t="n">
        <f aca="false">IF(D9="รับราชการ",IF(A9&gt;=สมมติฐาน!$B$19,สมมติฐาน!$B$18,IF(A9&gt;=สมมติฐาน!$B$17,สมมติฐาน!$B$16,0))*12*E9,0)</f>
        <v>0</v>
      </c>
      <c r="I9" s="14" t="n">
        <f aca="false">G9*สมมติฐาน!$B$21</f>
        <v>8352</v>
      </c>
      <c r="J9" s="14" t="n">
        <f aca="false">IF(AND(D9="รับราชการ",A9&lt;=สมมติฐาน!$B$23),สมมติฐาน!$B$22*12*E9,0)</f>
        <v>0</v>
      </c>
      <c r="K9" s="14" t="n">
        <f aca="false">IF(AND(D9="รับราชการ",สมมติฐาน!$B$26&gt;0,A9&gt;=สมมติฐาน!$B$29,A9&lt;สมมติฐาน!$B$29+สมมติฐาน!$B$30),สมมติฐาน!$B$28*สมมติฐาน!$B$26*E9,0)</f>
        <v>0</v>
      </c>
      <c r="L9" s="14" t="n">
        <f aca="false">G9*สมมติฐาน!$B$20</f>
        <v>5011.2</v>
      </c>
      <c r="M9" s="22" t="n">
        <f aca="false">(1+สมมติฐาน!$B$39)^(A9-1)*(1+สมมติฐาน!$B$40)^(A9-1)</f>
        <v>1</v>
      </c>
      <c r="N9" s="20" t="n">
        <f aca="false">A9-สมมติฐาน!$B$31</f>
        <v>-9</v>
      </c>
      <c r="O9" s="20" t="n">
        <f aca="false">C9+สมมติฐาน!$B$32</f>
        <v>50</v>
      </c>
      <c r="P9" s="14" t="n">
        <f aca="false">(1+สมมติฐาน!$B$25)*สมมติฐาน!$B$37*LOOKUP(C9,สมมติฐาน!$A$59:$A$64,สมมติฐาน!$B$59:$B$64)*สมมติฐาน!$B$34*M9</f>
        <v>8000</v>
      </c>
      <c r="Q9" s="14" t="n">
        <f aca="false">IF(AND(สมมติฐาน!$B$26&gt;0,N9&gt;=0,N9&lt;=19),สมมติฐาน!$B$26*สมมติฐาน!$B$37*LOOKUP(MAX(N9,0),สมมติฐาน!$A$59:$A$64,สมมติฐาน!$B$59:$B$64)*สมมติฐาน!$B$34*M9,0)</f>
        <v>0</v>
      </c>
      <c r="R9" s="14" t="n">
        <f aca="false">IF(AND(สมมติฐาน!$B$27&gt;0,O9&lt;=สมมติฐาน!$B$33),สมมติฐาน!$B$27*สมมติฐาน!$B$37*LOOKUP(O9,สมมติฐาน!$A$59:$A$64,สมมติฐาน!$B$59:$B$64)*สมมติฐาน!$B$34*M9,0)</f>
        <v>14000</v>
      </c>
      <c r="S9" s="14" t="n">
        <f aca="false">IF(D9="รับราชการ",0,$AD$6*12*(1+สมมติฐาน!$B$42)^(A9-38-1))</f>
        <v>0</v>
      </c>
      <c r="T9" s="14" t="n">
        <f aca="false">IF(C9=สมมติฐาน!$B$8,$AD$7,0)+IF(C9=65,$AD$9,0)+IF(C9=70,$AD$11,0)+IF(A9=57,$AD$12+$AD$13,0)</f>
        <v>0</v>
      </c>
      <c r="U9" s="14" t="n">
        <f aca="false">G9+H9+I9+J9+K9+L9+P9+Q9+R9+S9+T9</f>
        <v>202403.2</v>
      </c>
      <c r="V9" s="14" t="n">
        <f aca="false">U9/E9</f>
        <v>202403.2</v>
      </c>
      <c r="W9" s="22" t="n">
        <f aca="false">1/(1+สมมติฐาน!$B$41)^(A9-1)</f>
        <v>1</v>
      </c>
      <c r="X9" s="14" t="n">
        <f aca="false">V9*W9</f>
        <v>202403.2</v>
      </c>
      <c r="AA9" s="7" t="s">
        <v>201</v>
      </c>
      <c r="AD9" s="14" t="n">
        <f aca="false">AD8-AD7</f>
        <v>200000</v>
      </c>
    </row>
    <row r="10" customFormat="false" ht="15" hidden="false" customHeight="true" outlineLevel="0" collapsed="false">
      <c r="A10" s="23" t="n">
        <v>2</v>
      </c>
      <c r="B10" s="23" t="n">
        <f aca="false">สมมติฐาน!$B$38+A10-1</f>
        <v>2570</v>
      </c>
      <c r="C10" s="23" t="n">
        <f aca="false">สมมติฐาน!$B$7+A10-1</f>
        <v>23</v>
      </c>
      <c r="D10" s="24" t="str">
        <f aca="false">IF(C10&lt;สมมติฐาน!$B$8,"รับราชการ","รับบำนาญ")</f>
        <v>รับราชการ</v>
      </c>
      <c r="E10" s="25" t="n">
        <f aca="false">(1+สมมติฐาน!$B$39)^(A10-1)</f>
        <v>1.02</v>
      </c>
      <c r="F10" s="26" t="n">
        <f aca="false">IF(D10="รับราชการ",สมมติฐาน!$B$13*(1+สมมติฐาน!$B$15)^(A10-1)*E10,0)</f>
        <v>14567.7496118186</v>
      </c>
      <c r="G10" s="26" t="n">
        <f aca="false">F10*12</f>
        <v>174812.995341824</v>
      </c>
      <c r="H10" s="26" t="n">
        <f aca="false">IF(D10="รับราชการ",IF(A10&gt;=สมมติฐาน!$B$19,สมมติฐาน!$B$18,IF(A10&gt;=สมมติฐาน!$B$17,สมมติฐาน!$B$16,0))*12*E10,0)</f>
        <v>0</v>
      </c>
      <c r="I10" s="26" t="n">
        <f aca="false">G10*สมมติฐาน!$B$21</f>
        <v>8740.64976709118</v>
      </c>
      <c r="J10" s="26" t="n">
        <f aca="false">IF(AND(D10="รับราชการ",A10&lt;=สมมติฐาน!$B$23),สมมติฐาน!$B$22*12*E10,0)</f>
        <v>0</v>
      </c>
      <c r="K10" s="26" t="n">
        <f aca="false">IF(AND(D10="รับราชการ",สมมติฐาน!$B$26&gt;0,A10&gt;=สมมติฐาน!$B$29,A10&lt;สมมติฐาน!$B$29+สมมติฐาน!$B$30),สมมติฐาน!$B$28*สมมติฐาน!$B$26*E10,0)</f>
        <v>0</v>
      </c>
      <c r="L10" s="26" t="n">
        <f aca="false">G10*สมมติฐาน!$B$20</f>
        <v>5244.3898602547</v>
      </c>
      <c r="M10" s="25" t="n">
        <f aca="false">(1+สมมติฐาน!$B$39)^(A10-1)*(1+สมมติฐาน!$B$40)^(A10-1)</f>
        <v>1.0404</v>
      </c>
      <c r="N10" s="23" t="n">
        <f aca="false">A10-สมมติฐาน!$B$31</f>
        <v>-8</v>
      </c>
      <c r="O10" s="23" t="n">
        <f aca="false">C10+สมมติฐาน!$B$32</f>
        <v>51</v>
      </c>
      <c r="P10" s="26" t="n">
        <f aca="false">(1+สมมติฐาน!$B$25)*สมมติฐาน!$B$37*LOOKUP(C10,สมมติฐาน!$A$59:$A$64,สมมติฐาน!$B$59:$B$64)*สมมติฐาน!$B$34*M10</f>
        <v>8323.2</v>
      </c>
      <c r="Q10" s="26" t="n">
        <f aca="false">IF(AND(สมมติฐาน!$B$26&gt;0,N10&gt;=0,N10&lt;=19),สมมติฐาน!$B$26*สมมติฐาน!$B$37*LOOKUP(MAX(N10,0),สมมติฐาน!$A$59:$A$64,สมมติฐาน!$B$59:$B$64)*สมมติฐาน!$B$34*M10,0)</f>
        <v>0</v>
      </c>
      <c r="R10" s="26" t="n">
        <f aca="false">IF(AND(สมมติฐาน!$B$27&gt;0,O10&lt;=สมมติฐาน!$B$33),สมมติฐาน!$B$27*สมมติฐาน!$B$37*LOOKUP(O10,สมมติฐาน!$A$59:$A$64,สมมติฐาน!$B$59:$B$64)*สมมติฐาน!$B$34*M10,0)</f>
        <v>14565.6</v>
      </c>
      <c r="S10" s="26" t="n">
        <f aca="false">IF(D10="รับราชการ",0,$AD$6*12*(1+สมมติฐาน!$B$42)^(A10-38-1))</f>
        <v>0</v>
      </c>
      <c r="T10" s="26" t="n">
        <f aca="false">IF(C10=สมมติฐาน!$B$8,$AD$7,0)+IF(C10=65,$AD$9,0)+IF(C10=70,$AD$11,0)+IF(A10=57,$AD$12+$AD$13,0)</f>
        <v>0</v>
      </c>
      <c r="U10" s="26" t="n">
        <f aca="false">G10+H10+I10+J10+K10+L10+P10+Q10+R10+S10+T10</f>
        <v>211686.834969169</v>
      </c>
      <c r="V10" s="26" t="n">
        <f aca="false">U10/E10</f>
        <v>207536.112714872</v>
      </c>
      <c r="W10" s="25" t="n">
        <f aca="false">1/(1+สมมติฐาน!$B$41)^(A10-1)</f>
        <v>0.980392156862745</v>
      </c>
      <c r="X10" s="26" t="n">
        <f aca="false">V10*W10</f>
        <v>203466.777171443</v>
      </c>
      <c r="AA10" s="7" t="s">
        <v>202</v>
      </c>
      <c r="AD10" s="14" t="n">
        <f aca="false">MIN(AD4*สมมติฐาน!$B$49,สมมติฐาน!$B$48)</f>
        <v>500000</v>
      </c>
    </row>
    <row r="11" customFormat="false" ht="15" hidden="false" customHeight="true" outlineLevel="0" collapsed="false">
      <c r="A11" s="20" t="n">
        <v>3</v>
      </c>
      <c r="B11" s="20" t="n">
        <f aca="false">สมมติฐาน!$B$38+A11-1</f>
        <v>2571</v>
      </c>
      <c r="C11" s="20" t="n">
        <f aca="false">สมมติฐาน!$B$7+A11-1</f>
        <v>24</v>
      </c>
      <c r="D11" s="21" t="str">
        <f aca="false">IF(C11&lt;สมมติฐาน!$B$8,"รับราชการ","รับบำนาญ")</f>
        <v>รับราชการ</v>
      </c>
      <c r="E11" s="22" t="n">
        <f aca="false">(1+สมมติฐาน!$B$39)^(A11-1)</f>
        <v>1.0404</v>
      </c>
      <c r="F11" s="14" t="n">
        <f aca="false">IF(D11="รับราชการ",สมมติฐาน!$B$13*(1+สมมติฐาน!$B$15)^(A11-1)*E11,0)</f>
        <v>15245.6414333794</v>
      </c>
      <c r="G11" s="14" t="n">
        <f aca="false">F11*12</f>
        <v>182947.697200553</v>
      </c>
      <c r="H11" s="14" t="n">
        <f aca="false">IF(D11="รับราชการ",IF(A11&gt;=สมมติฐาน!$B$19,สมมติฐาน!$B$18,IF(A11&gt;=สมมติฐาน!$B$17,สมมติฐาน!$B$16,0))*12*E11,0)</f>
        <v>0</v>
      </c>
      <c r="I11" s="14" t="n">
        <f aca="false">G11*สมมติฐาน!$B$21</f>
        <v>9147.38486002766</v>
      </c>
      <c r="J11" s="14" t="n">
        <f aca="false">IF(AND(D11="รับราชการ",A11&lt;=สมมติฐาน!$B$23),สมมติฐาน!$B$22*12*E11,0)</f>
        <v>0</v>
      </c>
      <c r="K11" s="14" t="n">
        <f aca="false">IF(AND(D11="รับราชการ",สมมติฐาน!$B$26&gt;0,A11&gt;=สมมติฐาน!$B$29,A11&lt;สมมติฐาน!$B$29+สมมติฐาน!$B$30),สมมติฐาน!$B$28*สมมติฐาน!$B$26*E11,0)</f>
        <v>0</v>
      </c>
      <c r="L11" s="14" t="n">
        <f aca="false">G11*สมมติฐาน!$B$20</f>
        <v>5488.4309160166</v>
      </c>
      <c r="M11" s="22" t="n">
        <f aca="false">(1+สมมติฐาน!$B$39)^(A11-1)*(1+สมมติฐาน!$B$40)^(A11-1)</f>
        <v>1.08243216</v>
      </c>
      <c r="N11" s="20" t="n">
        <f aca="false">A11-สมมติฐาน!$B$31</f>
        <v>-7</v>
      </c>
      <c r="O11" s="20" t="n">
        <f aca="false">C11+สมมติฐาน!$B$32</f>
        <v>52</v>
      </c>
      <c r="P11" s="14" t="n">
        <f aca="false">(1+สมมติฐาน!$B$25)*สมมติฐาน!$B$37*LOOKUP(C11,สมมติฐาน!$A$59:$A$64,สมมติฐาน!$B$59:$B$64)*สมมติฐาน!$B$34*M11</f>
        <v>8659.45728</v>
      </c>
      <c r="Q11" s="14" t="n">
        <f aca="false">IF(AND(สมมติฐาน!$B$26&gt;0,N11&gt;=0,N11&lt;=19),สมมติฐาน!$B$26*สมมติฐาน!$B$37*LOOKUP(MAX(N11,0),สมมติฐาน!$A$59:$A$64,สมมติฐาน!$B$59:$B$64)*สมมติฐาน!$B$34*M11,0)</f>
        <v>0</v>
      </c>
      <c r="R11" s="14" t="n">
        <f aca="false">IF(AND(สมมติฐาน!$B$27&gt;0,O11&lt;=สมมติฐาน!$B$33),สมมติฐาน!$B$27*สมมติฐาน!$B$37*LOOKUP(O11,สมมติฐาน!$A$59:$A$64,สมมติฐาน!$B$59:$B$64)*สมมติฐาน!$B$34*M11,0)</f>
        <v>15154.05024</v>
      </c>
      <c r="S11" s="14" t="n">
        <f aca="false">IF(D11="รับราชการ",0,$AD$6*12*(1+สมมติฐาน!$B$42)^(A11-38-1))</f>
        <v>0</v>
      </c>
      <c r="T11" s="14" t="n">
        <f aca="false">IF(C11=สมมติฐาน!$B$8,$AD$7,0)+IF(C11=65,$AD$9,0)+IF(C11=70,$AD$11,0)+IF(A11=57,$AD$12+$AD$13,0)</f>
        <v>0</v>
      </c>
      <c r="U11" s="14" t="n">
        <f aca="false">G11+H11+I11+J11+K11+L11+P11+Q11+R11+S11+T11</f>
        <v>221397.020496597</v>
      </c>
      <c r="V11" s="14" t="n">
        <f aca="false">U11/E11</f>
        <v>212799.904360436</v>
      </c>
      <c r="W11" s="22" t="n">
        <f aca="false">1/(1+สมมติฐาน!$B$41)^(A11-1)</f>
        <v>0.961168781237985</v>
      </c>
      <c r="X11" s="14" t="n">
        <f aca="false">V11*W11</f>
        <v>204536.62472168</v>
      </c>
      <c r="AA11" s="7" t="s">
        <v>203</v>
      </c>
      <c r="AD11" s="14" t="n">
        <f aca="false">AD10-AD8</f>
        <v>100000</v>
      </c>
    </row>
    <row r="12" customFormat="false" ht="15" hidden="false" customHeight="true" outlineLevel="0" collapsed="false">
      <c r="A12" s="23" t="n">
        <v>4</v>
      </c>
      <c r="B12" s="23" t="n">
        <f aca="false">สมมติฐาน!$B$38+A12-1</f>
        <v>2572</v>
      </c>
      <c r="C12" s="23" t="n">
        <f aca="false">สมมติฐาน!$B$7+A12-1</f>
        <v>25</v>
      </c>
      <c r="D12" s="24" t="str">
        <f aca="false">IF(C12&lt;สมมติฐาน!$B$8,"รับราชการ","รับบำนาญ")</f>
        <v>รับราชการ</v>
      </c>
      <c r="E12" s="25" t="n">
        <f aca="false">(1+สมมติฐาน!$B$39)^(A12-1)</f>
        <v>1.061208</v>
      </c>
      <c r="F12" s="26" t="n">
        <f aca="false">IF(D12="รับราชการ",สมมติฐาน!$B$13*(1+สมมติฐาน!$B$15)^(A12-1)*E12,0)</f>
        <v>15955.0780943275</v>
      </c>
      <c r="G12" s="26" t="n">
        <f aca="false">F12*12</f>
        <v>191460.93713193</v>
      </c>
      <c r="H12" s="26" t="n">
        <f aca="false">IF(D12="รับราชการ",IF(A12&gt;=สมมติฐาน!$B$19,สมมติฐาน!$B$18,IF(A12&gt;=สมมติฐาน!$B$17,สมมติฐาน!$B$16,0))*12*E12,0)</f>
        <v>0</v>
      </c>
      <c r="I12" s="26" t="n">
        <f aca="false">G12*สมมติฐาน!$B$21</f>
        <v>9573.04685659652</v>
      </c>
      <c r="J12" s="26" t="n">
        <f aca="false">IF(AND(D12="รับราชการ",A12&lt;=สมมติฐาน!$B$23),สมมติฐาน!$B$22*12*E12,0)</f>
        <v>0</v>
      </c>
      <c r="K12" s="26" t="n">
        <f aca="false">IF(AND(D12="รับราชการ",สมมติฐาน!$B$26&gt;0,A12&gt;=สมมติฐาน!$B$29,A12&lt;สมมติฐาน!$B$29+สมมติฐาน!$B$30),สมมติฐาน!$B$28*สมมติฐาน!$B$26*E12,0)</f>
        <v>0</v>
      </c>
      <c r="L12" s="26" t="n">
        <f aca="false">G12*สมมติฐาน!$B$20</f>
        <v>5743.82811395791</v>
      </c>
      <c r="M12" s="25" t="n">
        <f aca="false">(1+สมมติฐาน!$B$39)^(A12-1)*(1+สมมติฐาน!$B$40)^(A12-1)</f>
        <v>1.126162419264</v>
      </c>
      <c r="N12" s="23" t="n">
        <f aca="false">A12-สมมติฐาน!$B$31</f>
        <v>-6</v>
      </c>
      <c r="O12" s="23" t="n">
        <f aca="false">C12+สมมติฐาน!$B$32</f>
        <v>53</v>
      </c>
      <c r="P12" s="26" t="n">
        <f aca="false">(1+สมมติฐาน!$B$25)*สมมติฐาน!$B$37*LOOKUP(C12,สมมติฐาน!$A$59:$A$64,สมมติฐาน!$B$59:$B$64)*สมมติฐาน!$B$34*M12</f>
        <v>9009.299354112</v>
      </c>
      <c r="Q12" s="26" t="n">
        <f aca="false">IF(AND(สมมติฐาน!$B$26&gt;0,N12&gt;=0,N12&lt;=19),สมมติฐาน!$B$26*สมมติฐาน!$B$37*LOOKUP(MAX(N12,0),สมมติฐาน!$A$59:$A$64,สมมติฐาน!$B$59:$B$64)*สมมติฐาน!$B$34*M12,0)</f>
        <v>0</v>
      </c>
      <c r="R12" s="26" t="n">
        <f aca="false">IF(AND(สมมติฐาน!$B$27&gt;0,O12&lt;=สมมติฐาน!$B$33),สมมติฐาน!$B$27*สมมติฐาน!$B$37*LOOKUP(O12,สมมติฐาน!$A$59:$A$64,สมมติฐาน!$B$59:$B$64)*สมมติฐาน!$B$34*M12,0)</f>
        <v>15766.273869696</v>
      </c>
      <c r="S12" s="26" t="n">
        <f aca="false">IF(D12="รับราชการ",0,$AD$6*12*(1+สมมติฐาน!$B$42)^(A12-38-1))</f>
        <v>0</v>
      </c>
      <c r="T12" s="26" t="n">
        <f aca="false">IF(C12=สมมติฐาน!$B$8,$AD$7,0)+IF(C12=65,$AD$9,0)+IF(C12=70,$AD$11,0)+IF(A12=57,$AD$12+$AD$13,0)</f>
        <v>0</v>
      </c>
      <c r="U12" s="26" t="n">
        <f aca="false">G12+H12+I12+J12+K12+L12+P12+Q12+R12+S12+T12</f>
        <v>231553.385326293</v>
      </c>
      <c r="V12" s="26" t="n">
        <f aca="false">U12/E12</f>
        <v>218197.926632944</v>
      </c>
      <c r="W12" s="25" t="n">
        <f aca="false">1/(1+สมมติฐาน!$B$41)^(A12-1)</f>
        <v>0.942322334547044</v>
      </c>
      <c r="X12" s="26" t="n">
        <f aca="false">V12*W12</f>
        <v>205612.77961808</v>
      </c>
      <c r="AA12" s="7" t="s">
        <v>204</v>
      </c>
      <c r="AD12" s="14" t="n">
        <f aca="false">MAX(0,AD6*สมมติฐาน!$B$50-AD10)</f>
        <v>939195.288207564</v>
      </c>
    </row>
    <row r="13" customFormat="false" ht="15" hidden="false" customHeight="true" outlineLevel="0" collapsed="false">
      <c r="A13" s="20" t="n">
        <v>5</v>
      </c>
      <c r="B13" s="20" t="n">
        <f aca="false">สมมติฐาน!$B$38+A13-1</f>
        <v>2573</v>
      </c>
      <c r="C13" s="20" t="n">
        <f aca="false">สมมติฐาน!$B$7+A13-1</f>
        <v>26</v>
      </c>
      <c r="D13" s="21" t="str">
        <f aca="false">IF(C13&lt;สมมติฐาน!$B$8,"รับราชการ","รับบำนาญ")</f>
        <v>รับราชการ</v>
      </c>
      <c r="E13" s="22" t="n">
        <f aca="false">(1+สมมติฐาน!$B$39)^(A13-1)</f>
        <v>1.08243216</v>
      </c>
      <c r="F13" s="14" t="n">
        <f aca="false">IF(D13="รับราชการ",สมมติฐาน!$B$13*(1+สมมติฐาน!$B$15)^(A13-1)*E13,0)</f>
        <v>16697.5274939063</v>
      </c>
      <c r="G13" s="14" t="n">
        <f aca="false">F13*12</f>
        <v>200370.329926876</v>
      </c>
      <c r="H13" s="14" t="n">
        <f aca="false">IF(D13="รับราชการ",IF(A13&gt;=สมมติฐาน!$B$19,สมมติฐาน!$B$18,IF(A13&gt;=สมมติฐาน!$B$17,สมมติฐาน!$B$16,0))*12*E13,0)</f>
        <v>0</v>
      </c>
      <c r="I13" s="14" t="n">
        <f aca="false">G13*สมมติฐาน!$B$21</f>
        <v>10018.5164963438</v>
      </c>
      <c r="J13" s="14" t="n">
        <f aca="false">IF(AND(D13="รับราชการ",A13&lt;=สมมติฐาน!$B$23),สมมติฐาน!$B$22*12*E13,0)</f>
        <v>0</v>
      </c>
      <c r="K13" s="14" t="n">
        <f aca="false">IF(AND(D13="รับราชการ",สมมติฐาน!$B$26&gt;0,A13&gt;=สมมติฐาน!$B$29,A13&lt;สมมติฐาน!$B$29+สมมติฐาน!$B$30),สมมติฐาน!$B$28*สมมติฐาน!$B$26*E13,0)</f>
        <v>0</v>
      </c>
      <c r="L13" s="14" t="n">
        <f aca="false">G13*สมมติฐาน!$B$20</f>
        <v>6011.10989780627</v>
      </c>
      <c r="M13" s="22" t="n">
        <f aca="false">(1+สมมติฐาน!$B$39)^(A13-1)*(1+สมมติฐาน!$B$40)^(A13-1)</f>
        <v>1.17165938100227</v>
      </c>
      <c r="N13" s="20" t="n">
        <f aca="false">A13-สมมติฐาน!$B$31</f>
        <v>-5</v>
      </c>
      <c r="O13" s="20" t="n">
        <f aca="false">C13+สมมติฐาน!$B$32</f>
        <v>54</v>
      </c>
      <c r="P13" s="14" t="n">
        <f aca="false">(1+สมมติฐาน!$B$25)*สมมติฐาน!$B$37*LOOKUP(C13,สมมติฐาน!$A$59:$A$64,สมมติฐาน!$B$59:$B$64)*สมมติฐาน!$B$34*M13</f>
        <v>9373.27504801812</v>
      </c>
      <c r="Q13" s="14" t="n">
        <f aca="false">IF(AND(สมมติฐาน!$B$26&gt;0,N13&gt;=0,N13&lt;=19),สมมติฐาน!$B$26*สมมติฐาน!$B$37*LOOKUP(MAX(N13,0),สมมติฐาน!$A$59:$A$64,สมมติฐาน!$B$59:$B$64)*สมมติฐาน!$B$34*M13,0)</f>
        <v>0</v>
      </c>
      <c r="R13" s="14" t="n">
        <f aca="false">IF(AND(สมมติฐาน!$B$27&gt;0,O13&lt;=สมมติฐาน!$B$33),สมมติฐาน!$B$27*สมมติฐาน!$B$37*LOOKUP(O13,สมมติฐาน!$A$59:$A$64,สมมติฐาน!$B$59:$B$64)*สมมติฐาน!$B$34*M13,0)</f>
        <v>16403.2313340317</v>
      </c>
      <c r="S13" s="14" t="n">
        <f aca="false">IF(D13="รับราชการ",0,$AD$6*12*(1+สมมติฐาน!$B$42)^(A13-38-1))</f>
        <v>0</v>
      </c>
      <c r="T13" s="14" t="n">
        <f aca="false">IF(C13=สมมติฐาน!$B$8,$AD$7,0)+IF(C13=65,$AD$9,0)+IF(C13=70,$AD$11,0)+IF(A13=57,$AD$12+$AD$13,0)</f>
        <v>0</v>
      </c>
      <c r="U13" s="14" t="n">
        <f aca="false">G13+H13+I13+J13+K13+L13+P13+Q13+R13+S13+T13</f>
        <v>242176.462703075</v>
      </c>
      <c r="V13" s="14" t="n">
        <f aca="false">U13/E13</f>
        <v>223733.617359517</v>
      </c>
      <c r="W13" s="22" t="n">
        <f aca="false">1/(1+สมมติฐาน!$B$41)^(A13-1)</f>
        <v>0.923845426026514</v>
      </c>
      <c r="X13" s="14" t="n">
        <f aca="false">V13*W13</f>
        <v>206695.279045956</v>
      </c>
      <c r="AA13" s="7" t="s">
        <v>205</v>
      </c>
      <c r="AD13" s="14" t="n">
        <f aca="false">AD6*สมมติฐาน!$B$51</f>
        <v>143919.528820756</v>
      </c>
    </row>
    <row r="14" customFormat="false" ht="15" hidden="false" customHeight="true" outlineLevel="0" collapsed="false">
      <c r="A14" s="23" t="n">
        <v>6</v>
      </c>
      <c r="B14" s="23" t="n">
        <f aca="false">สมมติฐาน!$B$38+A14-1</f>
        <v>2574</v>
      </c>
      <c r="C14" s="23" t="n">
        <f aca="false">สมมติฐาน!$B$7+A14-1</f>
        <v>27</v>
      </c>
      <c r="D14" s="24" t="str">
        <f aca="false">IF(C14&lt;สมมติฐาน!$B$8,"รับราชการ","รับบำนาญ")</f>
        <v>รับราชการ</v>
      </c>
      <c r="E14" s="25" t="n">
        <f aca="false">(1+สมมติฐาน!$B$39)^(A14-1)</f>
        <v>1.1040808032</v>
      </c>
      <c r="F14" s="26" t="n">
        <f aca="false">IF(D14="รับราชการ",สมมติฐาน!$B$13*(1+สมมติฐาน!$B$15)^(A14-1)*E14,0)</f>
        <v>17474.5258381957</v>
      </c>
      <c r="G14" s="26" t="n">
        <f aca="false">F14*12</f>
        <v>209694.310058349</v>
      </c>
      <c r="H14" s="26" t="n">
        <f aca="false">IF(D14="รับราชการ",IF(A14&gt;=สมมติฐาน!$B$19,สมมติฐาน!$B$18,IF(A14&gt;=สมมติฐาน!$B$17,สมมติฐาน!$B$16,0))*12*E14,0)</f>
        <v>0</v>
      </c>
      <c r="I14" s="26" t="n">
        <f aca="false">G14*สมมติฐาน!$B$21</f>
        <v>10484.7155029174</v>
      </c>
      <c r="J14" s="26" t="n">
        <f aca="false">IF(AND(D14="รับราชการ",A14&lt;=สมมติฐาน!$B$23),สมมติฐาน!$B$22*12*E14,0)</f>
        <v>0</v>
      </c>
      <c r="K14" s="26" t="n">
        <f aca="false">IF(AND(D14="รับราชการ",สมมติฐาน!$B$26&gt;0,A14&gt;=สมมติฐาน!$B$29,A14&lt;สมมติฐาน!$B$29+สมมติฐาน!$B$30),สมมติฐาน!$B$28*สมมติฐาน!$B$26*E14,0)</f>
        <v>0</v>
      </c>
      <c r="L14" s="26" t="n">
        <f aca="false">G14*สมมติฐาน!$B$20</f>
        <v>6290.82930175046</v>
      </c>
      <c r="M14" s="25" t="n">
        <f aca="false">(1+สมมติฐาน!$B$39)^(A14-1)*(1+สมมติฐาน!$B$40)^(A14-1)</f>
        <v>1.21899441999476</v>
      </c>
      <c r="N14" s="23" t="n">
        <f aca="false">A14-สมมติฐาน!$B$31</f>
        <v>-4</v>
      </c>
      <c r="O14" s="23" t="n">
        <f aca="false">C14+สมมติฐาน!$B$32</f>
        <v>55</v>
      </c>
      <c r="P14" s="26" t="n">
        <f aca="false">(1+สมมติฐาน!$B$25)*สมมติฐาน!$B$37*LOOKUP(C14,สมมติฐาน!$A$59:$A$64,สมมติฐาน!$B$59:$B$64)*สมมติฐาน!$B$34*M14</f>
        <v>9751.95535995806</v>
      </c>
      <c r="Q14" s="26" t="n">
        <f aca="false">IF(AND(สมมติฐาน!$B$26&gt;0,N14&gt;=0,N14&lt;=19),สมมติฐาน!$B$26*สมมติฐาน!$B$37*LOOKUP(MAX(N14,0),สมมติฐาน!$A$59:$A$64,สมมติฐาน!$B$59:$B$64)*สมมติฐาน!$B$34*M14,0)</f>
        <v>0</v>
      </c>
      <c r="R14" s="26" t="n">
        <f aca="false">IF(AND(สมมติฐาน!$B$27&gt;0,O14&lt;=สมมติฐาน!$B$33),สมมติฐาน!$B$27*สมมติฐาน!$B$37*LOOKUP(O14,สมมติฐาน!$A$59:$A$64,สมมติฐาน!$B$59:$B$64)*สมมติฐาน!$B$34*M14,0)</f>
        <v>17065.9218799266</v>
      </c>
      <c r="S14" s="26" t="n">
        <f aca="false">IF(D14="รับราชการ",0,$AD$6*12*(1+สมมติฐาน!$B$42)^(A14-38-1))</f>
        <v>0</v>
      </c>
      <c r="T14" s="26" t="n">
        <f aca="false">IF(C14=สมมติฐาน!$B$8,$AD$7,0)+IF(C14=65,$AD$9,0)+IF(C14=70,$AD$11,0)+IF(A14=57,$AD$12+$AD$13,0)</f>
        <v>0</v>
      </c>
      <c r="U14" s="26" t="n">
        <f aca="false">G14+H14+I14+J14+K14+L14+P14+Q14+R14+S14+T14</f>
        <v>253287.732102901</v>
      </c>
      <c r="V14" s="26" t="n">
        <f aca="false">U14/E14</f>
        <v>229410.502717543</v>
      </c>
      <c r="W14" s="25" t="n">
        <f aca="false">1/(1+สมมติฐาน!$B$41)^(A14-1)</f>
        <v>0.905730809829916</v>
      </c>
      <c r="X14" s="26" t="n">
        <f aca="false">V14*W14</f>
        <v>207784.160409849</v>
      </c>
    </row>
    <row r="15" customFormat="false" ht="15" hidden="false" customHeight="true" outlineLevel="0" collapsed="false">
      <c r="A15" s="20" t="n">
        <v>7</v>
      </c>
      <c r="B15" s="20" t="n">
        <f aca="false">สมมติฐาน!$B$38+A15-1</f>
        <v>2575</v>
      </c>
      <c r="C15" s="20" t="n">
        <f aca="false">สมมติฐาน!$B$7+A15-1</f>
        <v>28</v>
      </c>
      <c r="D15" s="21" t="str">
        <f aca="false">IF(C15&lt;สมมติฐาน!$B$8,"รับราชการ","รับบำนาญ")</f>
        <v>รับราชการ</v>
      </c>
      <c r="E15" s="22" t="n">
        <f aca="false">(1+สมมติฐาน!$B$39)^(A15-1)</f>
        <v>1.126162419264</v>
      </c>
      <c r="F15" s="14" t="n">
        <f aca="false">IF(D15="รับราชการ",สมมติฐาน!$B$13*(1+สมมติฐาน!$B$15)^(A15-1)*E15,0)</f>
        <v>18287.6808186846</v>
      </c>
      <c r="G15" s="14" t="n">
        <f aca="false">F15*12</f>
        <v>219452.169824216</v>
      </c>
      <c r="H15" s="14" t="n">
        <f aca="false">IF(D15="รับราชการ",IF(A15&gt;=สมมติฐาน!$B$19,สมมติฐาน!$B$18,IF(A15&gt;=สมมติฐาน!$B$17,สมมติฐาน!$B$16,0))*12*E15,0)</f>
        <v>0</v>
      </c>
      <c r="I15" s="14" t="n">
        <f aca="false">G15*สมมติฐาน!$B$21</f>
        <v>10972.6084912108</v>
      </c>
      <c r="J15" s="14" t="n">
        <f aca="false">IF(AND(D15="รับราชการ",A15&lt;=สมมติฐาน!$B$23),สมมติฐาน!$B$22*12*E15,0)</f>
        <v>0</v>
      </c>
      <c r="K15" s="14" t="n">
        <f aca="false">IF(AND(D15="รับราชการ",สมมติฐาน!$B$26&gt;0,A15&gt;=สมมติฐาน!$B$29,A15&lt;สมมติฐาน!$B$29+สมมติฐาน!$B$30),สมมติฐาน!$B$28*สมมติฐาน!$B$26*E15,0)</f>
        <v>0</v>
      </c>
      <c r="L15" s="14" t="n">
        <f aca="false">G15*สมมติฐาน!$B$20</f>
        <v>6583.56509472647</v>
      </c>
      <c r="M15" s="22" t="n">
        <f aca="false">(1+สมมติฐาน!$B$39)^(A15-1)*(1+สมมติฐาน!$B$40)^(A15-1)</f>
        <v>1.26824179456255</v>
      </c>
      <c r="N15" s="20" t="n">
        <f aca="false">A15-สมมติฐาน!$B$31</f>
        <v>-3</v>
      </c>
      <c r="O15" s="20" t="n">
        <f aca="false">C15+สมมติฐาน!$B$32</f>
        <v>56</v>
      </c>
      <c r="P15" s="14" t="n">
        <f aca="false">(1+สมมติฐาน!$B$25)*สมมติฐาน!$B$37*LOOKUP(C15,สมมติฐาน!$A$59:$A$64,สมมติฐาน!$B$59:$B$64)*สมมติฐาน!$B$34*M15</f>
        <v>10145.9343565004</v>
      </c>
      <c r="Q15" s="14" t="n">
        <f aca="false">IF(AND(สมมติฐาน!$B$26&gt;0,N15&gt;=0,N15&lt;=19),สมมติฐาน!$B$26*สมมติฐาน!$B$37*LOOKUP(MAX(N15,0),สมมติฐาน!$A$59:$A$64,สมมติฐาน!$B$59:$B$64)*สมมติฐาน!$B$34*M15,0)</f>
        <v>0</v>
      </c>
      <c r="R15" s="14" t="n">
        <f aca="false">IF(AND(สมมติฐาน!$B$27&gt;0,O15&lt;=สมมติฐาน!$B$33),สมมติฐาน!$B$27*สมมติฐาน!$B$37*LOOKUP(O15,สมมติฐาน!$A$59:$A$64,สมมติฐาน!$B$59:$B$64)*สมมติฐาน!$B$34*M15,0)</f>
        <v>17755.3851238756</v>
      </c>
      <c r="S15" s="14" t="n">
        <f aca="false">IF(D15="รับราชการ",0,$AD$6*12*(1+สมมติฐาน!$B$42)^(A15-38-1))</f>
        <v>0</v>
      </c>
      <c r="T15" s="14" t="n">
        <f aca="false">IF(C15=สมมติฐาน!$B$8,$AD$7,0)+IF(C15=65,$AD$9,0)+IF(C15=70,$AD$11,0)+IF(A15=57,$AD$12+$AD$13,0)</f>
        <v>0</v>
      </c>
      <c r="U15" s="14" t="n">
        <f aca="false">G15+H15+I15+J15+K15+L15+P15+Q15+R15+S15+T15</f>
        <v>264909.662890529</v>
      </c>
      <c r="V15" s="14" t="n">
        <f aca="false">U15/E15</f>
        <v>235232.199511381</v>
      </c>
      <c r="W15" s="22" t="n">
        <f aca="false">1/(1+สมมติฐาน!$B$41)^(A15-1)</f>
        <v>0.887971382186192</v>
      </c>
      <c r="X15" s="14" t="n">
        <f aca="false">V15*W15</f>
        <v>208879.461334819</v>
      </c>
    </row>
    <row r="16" customFormat="false" ht="15" hidden="false" customHeight="true" outlineLevel="0" collapsed="false">
      <c r="A16" s="23" t="n">
        <v>8</v>
      </c>
      <c r="B16" s="23" t="n">
        <f aca="false">สมมติฐาน!$B$38+A16-1</f>
        <v>2576</v>
      </c>
      <c r="C16" s="23" t="n">
        <f aca="false">สมมติฐาน!$B$7+A16-1</f>
        <v>29</v>
      </c>
      <c r="D16" s="24" t="str">
        <f aca="false">IF(C16&lt;สมมติฐาน!$B$8,"รับราชการ","รับบำนาญ")</f>
        <v>รับราชการ</v>
      </c>
      <c r="E16" s="25" t="n">
        <f aca="false">(1+สมมติฐาน!$B$39)^(A16-1)</f>
        <v>1.14868566764928</v>
      </c>
      <c r="F16" s="26" t="n">
        <f aca="false">IF(D16="รับราชการ",สมมติฐาน!$B$13*(1+สมมติฐาน!$B$15)^(A16-1)*E16,0)</f>
        <v>19138.674938754</v>
      </c>
      <c r="G16" s="26" t="n">
        <f aca="false">F16*12</f>
        <v>229664.099265048</v>
      </c>
      <c r="H16" s="26" t="n">
        <f aca="false">IF(D16="รับราชการ",IF(A16&gt;=สมมติฐาน!$B$19,สมมติฐาน!$B$18,IF(A16&gt;=สมมติฐาน!$B$17,สมมติฐาน!$B$16,0))*12*E16,0)</f>
        <v>0</v>
      </c>
      <c r="I16" s="26" t="n">
        <f aca="false">G16*สมมติฐาน!$B$21</f>
        <v>11483.2049632524</v>
      </c>
      <c r="J16" s="26" t="n">
        <f aca="false">IF(AND(D16="รับราชการ",A16&lt;=สมมติฐาน!$B$23),สมมติฐาน!$B$22*12*E16,0)</f>
        <v>0</v>
      </c>
      <c r="K16" s="26" t="n">
        <f aca="false">IF(AND(D16="รับราชการ",สมมติฐาน!$B$26&gt;0,A16&gt;=สมมติฐาน!$B$29,A16&lt;สมมติฐาน!$B$29+สมมติฐาน!$B$30),สมมติฐาน!$B$28*สมมติฐาน!$B$26*E16,0)</f>
        <v>0</v>
      </c>
      <c r="L16" s="26" t="n">
        <f aca="false">G16*สมมติฐาน!$B$20</f>
        <v>6889.92297795145</v>
      </c>
      <c r="M16" s="25" t="n">
        <f aca="false">(1+สมมติฐาน!$B$39)^(A16-1)*(1+สมมติฐาน!$B$40)^(A16-1)</f>
        <v>1.31947876306287</v>
      </c>
      <c r="N16" s="23" t="n">
        <f aca="false">A16-สมมติฐาน!$B$31</f>
        <v>-2</v>
      </c>
      <c r="O16" s="23" t="n">
        <f aca="false">C16+สมมติฐาน!$B$32</f>
        <v>57</v>
      </c>
      <c r="P16" s="26" t="n">
        <f aca="false">(1+สมมติฐาน!$B$25)*สมมติฐาน!$B$37*LOOKUP(C16,สมมติฐาน!$A$59:$A$64,สมมติฐาน!$B$59:$B$64)*สมมติฐาน!$B$34*M16</f>
        <v>10555.830104503</v>
      </c>
      <c r="Q16" s="26" t="n">
        <f aca="false">IF(AND(สมมติฐาน!$B$26&gt;0,N16&gt;=0,N16&lt;=19),สมมติฐาน!$B$26*สมมติฐาน!$B$37*LOOKUP(MAX(N16,0),สมมติฐาน!$A$59:$A$64,สมมติฐาน!$B$59:$B$64)*สมมติฐาน!$B$34*M16,0)</f>
        <v>0</v>
      </c>
      <c r="R16" s="26" t="n">
        <f aca="false">IF(AND(สมมติฐาน!$B$27&gt;0,O16&lt;=สมมติฐาน!$B$33),สมมติฐาน!$B$27*สมมติฐาน!$B$37*LOOKUP(O16,สมมติฐาน!$A$59:$A$64,สมมติฐาน!$B$59:$B$64)*สมมติฐาน!$B$34*M16,0)</f>
        <v>18472.7026828802</v>
      </c>
      <c r="S16" s="26" t="n">
        <f aca="false">IF(D16="รับราชการ",0,$AD$6*12*(1+สมมติฐาน!$B$42)^(A16-38-1))</f>
        <v>0</v>
      </c>
      <c r="T16" s="26" t="n">
        <f aca="false">IF(C16=สมมติฐาน!$B$8,$AD$7,0)+IF(C16=65,$AD$9,0)+IF(C16=70,$AD$11,0)+IF(A16=57,$AD$12+$AD$13,0)</f>
        <v>0</v>
      </c>
      <c r="U16" s="26" t="n">
        <f aca="false">G16+H16+I16+J16+K16+L16+P16+Q16+R16+S16+T16</f>
        <v>277065.759993635</v>
      </c>
      <c r="V16" s="26" t="n">
        <f aca="false">U16/E16</f>
        <v>241202.417507859</v>
      </c>
      <c r="W16" s="25" t="n">
        <f aca="false">1/(1+สมมติฐาน!$B$41)^(A16-1)</f>
        <v>0.870560178613914</v>
      </c>
      <c r="X16" s="26" t="n">
        <f aca="false">V16*W16</f>
        <v>209981.219667749</v>
      </c>
    </row>
    <row r="17" customFormat="false" ht="15" hidden="false" customHeight="true" outlineLevel="0" collapsed="false">
      <c r="A17" s="20" t="n">
        <v>9</v>
      </c>
      <c r="B17" s="20" t="n">
        <f aca="false">สมมติฐาน!$B$38+A17-1</f>
        <v>2577</v>
      </c>
      <c r="C17" s="20" t="n">
        <f aca="false">สมมติฐาน!$B$7+A17-1</f>
        <v>30</v>
      </c>
      <c r="D17" s="21" t="str">
        <f aca="false">IF(C17&lt;สมมติฐาน!$B$8,"รับราชการ","รับบำนาญ")</f>
        <v>รับราชการ</v>
      </c>
      <c r="E17" s="22" t="n">
        <f aca="false">(1+สมมติฐาน!$B$39)^(A17-1)</f>
        <v>1.17165938100227</v>
      </c>
      <c r="F17" s="14" t="n">
        <f aca="false">IF(D17="รับราชการ",สมมติฐาน!$B$13*(1+สมมติฐาน!$B$15)^(A17-1)*E17,0)</f>
        <v>20029.2689949538</v>
      </c>
      <c r="G17" s="14" t="n">
        <f aca="false">F17*12</f>
        <v>240351.227939446</v>
      </c>
      <c r="H17" s="14" t="n">
        <f aca="false">IF(D17="รับราชการ",IF(A17&gt;=สมมติฐาน!$B$19,สมมติฐาน!$B$18,IF(A17&gt;=สมมติฐาน!$B$17,สมมติฐาน!$B$16,0))*12*E17,0)</f>
        <v>0</v>
      </c>
      <c r="I17" s="14" t="n">
        <f aca="false">G17*สมมติฐาน!$B$21</f>
        <v>12017.5613969723</v>
      </c>
      <c r="J17" s="14" t="n">
        <f aca="false">IF(AND(D17="รับราชการ",A17&lt;=สมมติฐาน!$B$23),สมมติฐาน!$B$22*12*E17,0)</f>
        <v>0</v>
      </c>
      <c r="K17" s="14" t="n">
        <f aca="false">IF(AND(D17="รับราชการ",สมมติฐาน!$B$26&gt;0,A17&gt;=สมมติฐาน!$B$29,A17&lt;สมมติฐาน!$B$29+สมมติฐาน!$B$30),สมมติฐาน!$B$28*สมมติฐาน!$B$26*E17,0)</f>
        <v>0</v>
      </c>
      <c r="L17" s="14" t="n">
        <f aca="false">G17*สมมติฐาน!$B$20</f>
        <v>7210.53683818337</v>
      </c>
      <c r="M17" s="22" t="n">
        <f aca="false">(1+สมมติฐาน!$B$39)^(A17-1)*(1+สมมติฐาน!$B$40)^(A17-1)</f>
        <v>1.37278570509061</v>
      </c>
      <c r="N17" s="20" t="n">
        <f aca="false">A17-สมมติฐาน!$B$31</f>
        <v>-1</v>
      </c>
      <c r="O17" s="20" t="n">
        <f aca="false">C17+สมมติฐาน!$B$32</f>
        <v>58</v>
      </c>
      <c r="P17" s="14" t="n">
        <f aca="false">(1+สมมติฐาน!$B$25)*สมมติฐาน!$B$37*LOOKUP(C17,สมมติฐาน!$A$59:$A$64,สมมติฐาน!$B$59:$B$64)*สมมติฐาน!$B$34*M17</f>
        <v>10982.2856407249</v>
      </c>
      <c r="Q17" s="14" t="n">
        <f aca="false">IF(AND(สมมติฐาน!$B$26&gt;0,N17&gt;=0,N17&lt;=19),สมมติฐาน!$B$26*สมมติฐาน!$B$37*LOOKUP(MAX(N17,0),สมมติฐาน!$A$59:$A$64,สมมติฐาน!$B$59:$B$64)*สมมติฐาน!$B$34*M17,0)</f>
        <v>0</v>
      </c>
      <c r="R17" s="14" t="n">
        <f aca="false">IF(AND(สมมติฐาน!$B$27&gt;0,O17&lt;=สมมติฐาน!$B$33),สมมติฐาน!$B$27*สมมติฐาน!$B$37*LOOKUP(O17,สมมติฐาน!$A$59:$A$64,สมมติฐาน!$B$59:$B$64)*สมมติฐาน!$B$34*M17,0)</f>
        <v>19218.9998712686</v>
      </c>
      <c r="S17" s="14" t="n">
        <f aca="false">IF(D17="รับราชการ",0,$AD$6*12*(1+สมมติฐาน!$B$42)^(A17-38-1))</f>
        <v>0</v>
      </c>
      <c r="T17" s="14" t="n">
        <f aca="false">IF(C17=สมมติฐาน!$B$8,$AD$7,0)+IF(C17=65,$AD$9,0)+IF(C17=70,$AD$11,0)+IF(A17=57,$AD$12+$AD$13,0)</f>
        <v>0</v>
      </c>
      <c r="U17" s="14" t="n">
        <f aca="false">G17+H17+I17+J17+K17+L17+P17+Q17+R17+S17+T17</f>
        <v>289780.611686595</v>
      </c>
      <c r="V17" s="14" t="n">
        <f aca="false">U17/E17</f>
        <v>247324.961832089</v>
      </c>
      <c r="W17" s="22" t="n">
        <f aca="false">1/(1+สมมติฐาน!$B$41)^(A17-1)</f>
        <v>0.853490371190111</v>
      </c>
      <c r="X17" s="14" t="n">
        <f aca="false">V17*W17</f>
        <v>211089.47347865</v>
      </c>
    </row>
    <row r="18" customFormat="false" ht="15" hidden="false" customHeight="true" outlineLevel="0" collapsed="false">
      <c r="A18" s="23" t="n">
        <v>10</v>
      </c>
      <c r="B18" s="23" t="n">
        <f aca="false">สมมติฐาน!$B$38+A18-1</f>
        <v>2578</v>
      </c>
      <c r="C18" s="23" t="n">
        <f aca="false">สมมติฐาน!$B$7+A18-1</f>
        <v>31</v>
      </c>
      <c r="D18" s="24" t="str">
        <f aca="false">IF(C18&lt;สมมติฐาน!$B$8,"รับราชการ","รับบำนาญ")</f>
        <v>รับราชการ</v>
      </c>
      <c r="E18" s="25" t="n">
        <f aca="false">(1+สมมติฐาน!$B$39)^(A18-1)</f>
        <v>1.19509256862231</v>
      </c>
      <c r="F18" s="26" t="n">
        <f aca="false">IF(D18="รับราชการ",สมมติฐาน!$B$13*(1+สมมติฐาน!$B$15)^(A18-1)*E18,0)</f>
        <v>20961.3057202765</v>
      </c>
      <c r="G18" s="26" t="n">
        <f aca="false">F18*12</f>
        <v>251535.668643318</v>
      </c>
      <c r="H18" s="26" t="n">
        <f aca="false">IF(D18="รับราชการ",IF(A18&gt;=สมมติฐาน!$B$19,สมมติฐาน!$B$18,IF(A18&gt;=สมมติฐาน!$B$17,สมมติฐาน!$B$16,0))*12*E18,0)</f>
        <v>0</v>
      </c>
      <c r="I18" s="26" t="n">
        <f aca="false">G18*สมมติฐาน!$B$21</f>
        <v>12576.7834321659</v>
      </c>
      <c r="J18" s="26" t="n">
        <f aca="false">IF(AND(D18="รับราชการ",A18&lt;=สมมติฐาน!$B$23),สมมติฐาน!$B$22*12*E18,0)</f>
        <v>0</v>
      </c>
      <c r="K18" s="26" t="n">
        <f aca="false">IF(AND(D18="รับราชการ",สมมติฐาน!$B$26&gt;0,A18&gt;=สมมติฐาน!$B$29,A18&lt;สมมติฐาน!$B$29+สมมติฐาน!$B$30),สมมติฐาน!$B$28*สมมติฐาน!$B$26*E18,0)</f>
        <v>14341.1108234677</v>
      </c>
      <c r="L18" s="26" t="n">
        <f aca="false">G18*สมมติฐาน!$B$20</f>
        <v>7546.07005929954</v>
      </c>
      <c r="M18" s="25" t="n">
        <f aca="false">(1+สมมติฐาน!$B$39)^(A18-1)*(1+สมมติฐาน!$B$40)^(A18-1)</f>
        <v>1.42824624757627</v>
      </c>
      <c r="N18" s="23" t="n">
        <f aca="false">A18-สมมติฐาน!$B$31</f>
        <v>0</v>
      </c>
      <c r="O18" s="23" t="n">
        <f aca="false">C18+สมมติฐาน!$B$32</f>
        <v>59</v>
      </c>
      <c r="P18" s="26" t="n">
        <f aca="false">(1+สมมติฐาน!$B$25)*สมมติฐาน!$B$37*LOOKUP(C18,สมมติฐาน!$A$59:$A$64,สมมติฐาน!$B$59:$B$64)*สมมติฐาน!$B$34*M18</f>
        <v>11425.9699806102</v>
      </c>
      <c r="Q18" s="26" t="n">
        <f aca="false">IF(AND(สมมติฐาน!$B$26&gt;0,N18&gt;=0,N18&lt;=19),สมมติฐาน!$B$26*สมมติฐาน!$B$37*LOOKUP(MAX(N18,0),สมมติฐาน!$A$59:$A$64,สมมติฐาน!$B$59:$B$64)*สมมติฐาน!$B$34*M18,0)</f>
        <v>8569.47748545764</v>
      </c>
      <c r="R18" s="26" t="n">
        <f aca="false">IF(AND(สมมติฐาน!$B$27&gt;0,O18&lt;=สมมติฐาน!$B$33),สมมติฐาน!$B$27*สมมติฐาน!$B$37*LOOKUP(O18,สมมติฐาน!$A$59:$A$64,สมมติฐาน!$B$59:$B$64)*สมมติฐาน!$B$34*M18,0)</f>
        <v>19995.4474660678</v>
      </c>
      <c r="S18" s="26" t="n">
        <f aca="false">IF(D18="รับราชการ",0,$AD$6*12*(1+สมมติฐาน!$B$42)^(A18-38-1))</f>
        <v>0</v>
      </c>
      <c r="T18" s="26" t="n">
        <f aca="false">IF(C18=สมมติฐาน!$B$8,$AD$7,0)+IF(C18=65,$AD$9,0)+IF(C18=70,$AD$11,0)+IF(A18=57,$AD$12+$AD$13,0)</f>
        <v>0</v>
      </c>
      <c r="U18" s="26" t="n">
        <f aca="false">G18+H18+I18+J18+K18+L18+P18+Q18+R18+S18+T18</f>
        <v>325990.527890387</v>
      </c>
      <c r="V18" s="26" t="n">
        <f aca="false">U18/E18</f>
        <v>272774.290836889</v>
      </c>
      <c r="W18" s="25" t="n">
        <f aca="false">1/(1+สมมติฐาน!$B$41)^(A18-1)</f>
        <v>0.836755265872658</v>
      </c>
      <c r="X18" s="26" t="n">
        <f aca="false">V18*W18</f>
        <v>228245.324252447</v>
      </c>
    </row>
    <row r="19" customFormat="false" ht="15" hidden="false" customHeight="true" outlineLevel="0" collapsed="false">
      <c r="A19" s="20" t="n">
        <v>11</v>
      </c>
      <c r="B19" s="20" t="n">
        <f aca="false">สมมติฐาน!$B$38+A19-1</f>
        <v>2579</v>
      </c>
      <c r="C19" s="20" t="n">
        <f aca="false">สมมติฐาน!$B$7+A19-1</f>
        <v>32</v>
      </c>
      <c r="D19" s="21" t="str">
        <f aca="false">IF(C19&lt;สมมติฐาน!$B$8,"รับราชการ","รับบำนาญ")</f>
        <v>รับราชการ</v>
      </c>
      <c r="E19" s="22" t="n">
        <f aca="false">(1+สมมติฐาน!$B$39)^(A19-1)</f>
        <v>1.21899441999476</v>
      </c>
      <c r="F19" s="14" t="n">
        <f aca="false">IF(D19="รับราชการ",สมมติฐาน!$B$13*(1+สมมติฐาน!$B$15)^(A19-1)*E19,0)</f>
        <v>21936.7135969662</v>
      </c>
      <c r="G19" s="14" t="n">
        <f aca="false">F19*12</f>
        <v>263240.563163594</v>
      </c>
      <c r="H19" s="14" t="n">
        <f aca="false">IF(D19="รับราชการ",IF(A19&gt;=สมมติฐาน!$B$19,สมมติฐาน!$B$18,IF(A19&gt;=สมมติฐาน!$B$17,สมมติฐาน!$B$16,0))*12*E19,0)</f>
        <v>0</v>
      </c>
      <c r="I19" s="14" t="n">
        <f aca="false">G19*สมมติฐาน!$B$21</f>
        <v>13162.0281581797</v>
      </c>
      <c r="J19" s="14" t="n">
        <f aca="false">IF(AND(D19="รับราชการ",A19&lt;=สมมติฐาน!$B$23),สมมติฐาน!$B$22*12*E19,0)</f>
        <v>0</v>
      </c>
      <c r="K19" s="14" t="n">
        <f aca="false">IF(AND(D19="รับราชการ",สมมติฐาน!$B$26&gt;0,A19&gt;=สมมติฐาน!$B$29,A19&lt;สมมติฐาน!$B$29+สมมติฐาน!$B$30),สมมติฐาน!$B$28*สมมติฐาน!$B$26*E19,0)</f>
        <v>14627.9330399371</v>
      </c>
      <c r="L19" s="14" t="n">
        <f aca="false">G19*สมมติฐาน!$B$20</f>
        <v>7897.21689490783</v>
      </c>
      <c r="M19" s="22" t="n">
        <f aca="false">(1+สมมติฐาน!$B$39)^(A19-1)*(1+สมมติฐาน!$B$40)^(A19-1)</f>
        <v>1.48594739597836</v>
      </c>
      <c r="N19" s="20" t="n">
        <f aca="false">A19-สมมติฐาน!$B$31</f>
        <v>1</v>
      </c>
      <c r="O19" s="20" t="n">
        <f aca="false">C19+สมมติฐาน!$B$32</f>
        <v>60</v>
      </c>
      <c r="P19" s="14" t="n">
        <f aca="false">(1+สมมติฐาน!$B$25)*สมมติฐาน!$B$37*LOOKUP(C19,สมมติฐาน!$A$59:$A$64,สมมติฐาน!$B$59:$B$64)*สมมติฐาน!$B$34*M19</f>
        <v>11887.5791678268</v>
      </c>
      <c r="Q19" s="14" t="n">
        <f aca="false">IF(AND(สมมติฐาน!$B$26&gt;0,N19&gt;=0,N19&lt;=19),สมมติฐาน!$B$26*สมมติฐาน!$B$37*LOOKUP(MAX(N19,0),สมมติฐาน!$A$59:$A$64,สมมติฐาน!$B$59:$B$64)*สมมติฐาน!$B$34*M19,0)</f>
        <v>8915.68437587013</v>
      </c>
      <c r="R19" s="14" t="n">
        <f aca="false">IF(AND(สมมติฐาน!$B$27&gt;0,O19&lt;=สมมติฐาน!$B$33),สมมติฐาน!$B$27*สมมติฐาน!$B$37*LOOKUP(O19,สมมติฐาน!$A$59:$A$64,สมมติฐาน!$B$59:$B$64)*สมมติฐาน!$B$34*M19,0)</f>
        <v>41606.5270873939</v>
      </c>
      <c r="S19" s="14" t="n">
        <f aca="false">IF(D19="รับราชการ",0,$AD$6*12*(1+สมมติฐาน!$B$42)^(A19-38-1))</f>
        <v>0</v>
      </c>
      <c r="T19" s="14" t="n">
        <f aca="false">IF(C19=สมมติฐาน!$B$8,$AD$7,0)+IF(C19=65,$AD$9,0)+IF(C19=70,$AD$11,0)+IF(A19=57,$AD$12+$AD$13,0)</f>
        <v>0</v>
      </c>
      <c r="U19" s="14" t="n">
        <f aca="false">G19+H19+I19+J19+K19+L19+P19+Q19+R19+S19+T19</f>
        <v>361337.53188771</v>
      </c>
      <c r="V19" s="14" t="n">
        <f aca="false">U19/E19</f>
        <v>296422.629965168</v>
      </c>
      <c r="W19" s="22" t="n">
        <f aca="false">1/(1+สมมติฐาน!$B$41)^(A19-1)</f>
        <v>0.820348299875155</v>
      </c>
      <c r="X19" s="14" t="n">
        <f aca="false">V19*W19</f>
        <v>243169.800536447</v>
      </c>
    </row>
    <row r="20" customFormat="false" ht="15" hidden="false" customHeight="true" outlineLevel="0" collapsed="false">
      <c r="A20" s="23" t="n">
        <v>12</v>
      </c>
      <c r="B20" s="23" t="n">
        <f aca="false">สมมติฐาน!$B$38+A20-1</f>
        <v>2580</v>
      </c>
      <c r="C20" s="23" t="n">
        <f aca="false">สมมติฐาน!$B$7+A20-1</f>
        <v>33</v>
      </c>
      <c r="D20" s="24" t="str">
        <f aca="false">IF(C20&lt;สมมติฐาน!$B$8,"รับราชการ","รับบำนาญ")</f>
        <v>รับราชการ</v>
      </c>
      <c r="E20" s="25" t="n">
        <f aca="false">(1+สมมติฐาน!$B$39)^(A20-1)</f>
        <v>1.24337430839465</v>
      </c>
      <c r="F20" s="26" t="n">
        <f aca="false">IF(D20="รับราชการ",สมมติฐาน!$B$13*(1+สมมติฐาน!$B$15)^(A20-1)*E20,0)</f>
        <v>22957.5108467515</v>
      </c>
      <c r="G20" s="26" t="n">
        <f aca="false">F20*12</f>
        <v>275490.130161018</v>
      </c>
      <c r="H20" s="26" t="n">
        <f aca="false">IF(D20="รับราชการ",IF(A20&gt;=สมมติฐาน!$B$19,สมมติฐาน!$B$18,IF(A20&gt;=สมมติฐาน!$B$17,สมมติฐาน!$B$16,0))*12*E20,0)</f>
        <v>0</v>
      </c>
      <c r="I20" s="26" t="n">
        <f aca="false">G20*สมมติฐาน!$B$21</f>
        <v>13774.5065080509</v>
      </c>
      <c r="J20" s="26" t="n">
        <f aca="false">IF(AND(D20="รับราชการ",A20&lt;=สมมติฐาน!$B$23),สมมติฐาน!$B$22*12*E20,0)</f>
        <v>0</v>
      </c>
      <c r="K20" s="26" t="n">
        <f aca="false">IF(AND(D20="รับราชการ",สมมติฐาน!$B$26&gt;0,A20&gt;=สมมติฐาน!$B$29,A20&lt;สมมติฐาน!$B$29+สมมติฐาน!$B$30),สมมติฐาน!$B$28*สมมติฐาน!$B$26*E20,0)</f>
        <v>14920.4917007358</v>
      </c>
      <c r="L20" s="26" t="n">
        <f aca="false">G20*สมมติฐาน!$B$20</f>
        <v>8264.70390483054</v>
      </c>
      <c r="M20" s="25" t="n">
        <f aca="false">(1+สมมติฐาน!$B$39)^(A20-1)*(1+สมมติฐาน!$B$40)^(A20-1)</f>
        <v>1.54597967077588</v>
      </c>
      <c r="N20" s="23" t="n">
        <f aca="false">A20-สมมติฐาน!$B$31</f>
        <v>2</v>
      </c>
      <c r="O20" s="23" t="n">
        <f aca="false">C20+สมมติฐาน!$B$32</f>
        <v>61</v>
      </c>
      <c r="P20" s="26" t="n">
        <f aca="false">(1+สมมติฐาน!$B$25)*สมมติฐาน!$B$37*LOOKUP(C20,สมมติฐาน!$A$59:$A$64,สมมติฐาน!$B$59:$B$64)*สมมติฐาน!$B$34*M20</f>
        <v>12367.837366207</v>
      </c>
      <c r="Q20" s="26" t="n">
        <f aca="false">IF(AND(สมมติฐาน!$B$26&gt;0,N20&gt;=0,N20&lt;=19),สมมติฐาน!$B$26*สมมติฐาน!$B$37*LOOKUP(MAX(N20,0),สมมติฐาน!$A$59:$A$64,สมมติฐาน!$B$59:$B$64)*สมมติฐาน!$B$34*M20,0)</f>
        <v>9275.87802465528</v>
      </c>
      <c r="R20" s="26" t="n">
        <f aca="false">IF(AND(สมมติฐาน!$B$27&gt;0,O20&lt;=สมมติฐาน!$B$33),สมมติฐาน!$B$27*สมมติฐาน!$B$37*LOOKUP(O20,สมมติฐาน!$A$59:$A$64,สมมติฐาน!$B$59:$B$64)*สมมติฐาน!$B$34*M20,0)</f>
        <v>43287.4307817247</v>
      </c>
      <c r="S20" s="26" t="n">
        <f aca="false">IF(D20="รับราชการ",0,$AD$6*12*(1+สมมติฐาน!$B$42)^(A20-38-1))</f>
        <v>0</v>
      </c>
      <c r="T20" s="26" t="n">
        <f aca="false">IF(C20=สมมติฐาน!$B$8,$AD$7,0)+IF(C20=65,$AD$9,0)+IF(C20=70,$AD$11,0)+IF(A20=57,$AD$12+$AD$13,0)</f>
        <v>0</v>
      </c>
      <c r="U20" s="26" t="n">
        <f aca="false">G20+H20+I20+J20+K20+L20+P20+Q20+R20+S20+T20</f>
        <v>377380.978447222</v>
      </c>
      <c r="V20" s="26" t="n">
        <f aca="false">U20/E20</f>
        <v>303513.572621962</v>
      </c>
      <c r="W20" s="25" t="n">
        <f aca="false">1/(1+สมมติฐาน!$B$41)^(A20-1)</f>
        <v>0.804263039093289</v>
      </c>
      <c r="X20" s="26" t="n">
        <f aca="false">V20*W20</f>
        <v>244104.748323001</v>
      </c>
    </row>
    <row r="21" customFormat="false" ht="15" hidden="false" customHeight="true" outlineLevel="0" collapsed="false">
      <c r="A21" s="20" t="n">
        <v>13</v>
      </c>
      <c r="B21" s="20" t="n">
        <f aca="false">สมมติฐาน!$B$38+A21-1</f>
        <v>2581</v>
      </c>
      <c r="C21" s="20" t="n">
        <f aca="false">สมมติฐาน!$B$7+A21-1</f>
        <v>34</v>
      </c>
      <c r="D21" s="21" t="str">
        <f aca="false">IF(C21&lt;สมมติฐาน!$B$8,"รับราชการ","รับบำนาญ")</f>
        <v>รับราชการ</v>
      </c>
      <c r="E21" s="22" t="n">
        <f aca="false">(1+สมมติฐาน!$B$39)^(A21-1)</f>
        <v>1.26824179456255</v>
      </c>
      <c r="F21" s="14" t="n">
        <f aca="false">IF(D21="รับราชการ",สมมติฐาน!$B$13*(1+สมมติฐาน!$B$15)^(A21-1)*E21,0)</f>
        <v>24025.809606759</v>
      </c>
      <c r="G21" s="14" t="n">
        <f aca="false">F21*12</f>
        <v>288309.715281109</v>
      </c>
      <c r="H21" s="14" t="n">
        <f aca="false">IF(D21="รับราชการ",IF(A21&gt;=สมมติฐาน!$B$19,สมมติฐาน!$B$18,IF(A21&gt;=สมมติฐาน!$B$17,สมมติฐาน!$B$16,0))*12*E21,0)</f>
        <v>0</v>
      </c>
      <c r="I21" s="14" t="n">
        <f aca="false">G21*สมมติฐาน!$B$21</f>
        <v>14415.4857640554</v>
      </c>
      <c r="J21" s="14" t="n">
        <f aca="false">IF(AND(D21="รับราชการ",A21&lt;=สมมติฐาน!$B$23),สมมติฐาน!$B$22*12*E21,0)</f>
        <v>0</v>
      </c>
      <c r="K21" s="14" t="n">
        <f aca="false">IF(AND(D21="รับราชการ",สมมติฐาน!$B$26&gt;0,A21&gt;=สมมติฐาน!$B$29,A21&lt;สมมติฐาน!$B$29+สมมติฐาน!$B$30),สมมติฐาน!$B$28*สมมติฐาน!$B$26*E21,0)</f>
        <v>15218.9015347505</v>
      </c>
      <c r="L21" s="14" t="n">
        <f aca="false">G21*สมมติฐาน!$B$20</f>
        <v>8649.29145843326</v>
      </c>
      <c r="M21" s="22" t="n">
        <f aca="false">(1+สมมติฐาน!$B$39)^(A21-1)*(1+สมมติฐาน!$B$40)^(A21-1)</f>
        <v>1.60843724947523</v>
      </c>
      <c r="N21" s="20" t="n">
        <f aca="false">A21-สมมติฐาน!$B$31</f>
        <v>3</v>
      </c>
      <c r="O21" s="20" t="n">
        <f aca="false">C21+สมมติฐาน!$B$32</f>
        <v>62</v>
      </c>
      <c r="P21" s="14" t="n">
        <f aca="false">(1+สมมติฐาน!$B$25)*สมมติฐาน!$B$37*LOOKUP(C21,สมมติฐาน!$A$59:$A$64,สมมติฐาน!$B$59:$B$64)*สมมติฐาน!$B$34*M21</f>
        <v>12867.4979958018</v>
      </c>
      <c r="Q21" s="14" t="n">
        <f aca="false">IF(AND(สมมติฐาน!$B$26&gt;0,N21&gt;=0,N21&lt;=19),สมมติฐาน!$B$26*สมมติฐาน!$B$37*LOOKUP(MAX(N21,0),สมมติฐาน!$A$59:$A$64,สมมติฐาน!$B$59:$B$64)*สมมติฐาน!$B$34*M21,0)</f>
        <v>9650.62349685136</v>
      </c>
      <c r="R21" s="14" t="n">
        <f aca="false">IF(AND(สมมติฐาน!$B$27&gt;0,O21&lt;=สมมติฐาน!$B$33),สมมติฐาน!$B$27*สมมติฐาน!$B$37*LOOKUP(O21,สมมติฐาน!$A$59:$A$64,สมมติฐาน!$B$59:$B$64)*สมมติฐาน!$B$34*M21,0)</f>
        <v>45036.2429853063</v>
      </c>
      <c r="S21" s="14" t="n">
        <f aca="false">IF(D21="รับราชการ",0,$AD$6*12*(1+สมมติฐาน!$B$42)^(A21-38-1))</f>
        <v>0</v>
      </c>
      <c r="T21" s="14" t="n">
        <f aca="false">IF(C21=สมมติฐาน!$B$8,$AD$7,0)+IF(C21=65,$AD$9,0)+IF(C21=70,$AD$11,0)+IF(A21=57,$AD$12+$AD$13,0)</f>
        <v>0</v>
      </c>
      <c r="U21" s="14" t="n">
        <f aca="false">G21+H21+I21+J21+K21+L21+P21+Q21+R21+S21+T21</f>
        <v>394147.758516307</v>
      </c>
      <c r="V21" s="14" t="n">
        <f aca="false">U21/E21</f>
        <v>310782.817760915</v>
      </c>
      <c r="W21" s="22" t="n">
        <f aca="false">1/(1+สมมติฐาน!$B$41)^(A21-1)</f>
        <v>0.788493175581656</v>
      </c>
      <c r="X21" s="14" t="n">
        <f aca="false">V21*W21</f>
        <v>245050.130892519</v>
      </c>
    </row>
    <row r="22" customFormat="false" ht="15" hidden="false" customHeight="true" outlineLevel="0" collapsed="false">
      <c r="A22" s="23" t="n">
        <v>14</v>
      </c>
      <c r="B22" s="23" t="n">
        <f aca="false">สมมติฐาน!$B$38+A22-1</f>
        <v>2582</v>
      </c>
      <c r="C22" s="23" t="n">
        <f aca="false">สมมติฐาน!$B$7+A22-1</f>
        <v>35</v>
      </c>
      <c r="D22" s="24" t="str">
        <f aca="false">IF(C22&lt;สมมติฐาน!$B$8,"รับราชการ","รับบำนาญ")</f>
        <v>รับราชการ</v>
      </c>
      <c r="E22" s="25" t="n">
        <f aca="false">(1+สมมติฐาน!$B$39)^(A22-1)</f>
        <v>1.2936066304538</v>
      </c>
      <c r="F22" s="26" t="n">
        <f aca="false">IF(D22="รับราชการ",สมมติฐาน!$B$13*(1+สมมติฐาน!$B$15)^(A22-1)*E22,0)</f>
        <v>25143.820299748</v>
      </c>
      <c r="G22" s="26" t="n">
        <f aca="false">F22*12</f>
        <v>301725.843596976</v>
      </c>
      <c r="H22" s="26" t="n">
        <f aca="false">IF(D22="รับราชการ",IF(A22&gt;=สมมติฐาน!$B$19,สมมติฐาน!$B$18,IF(A22&gt;=สมมติฐาน!$B$17,สมมติฐาน!$B$16,0))*12*E22,0)</f>
        <v>0</v>
      </c>
      <c r="I22" s="26" t="n">
        <f aca="false">G22*สมมติฐาน!$B$21</f>
        <v>15086.2921798488</v>
      </c>
      <c r="J22" s="26" t="n">
        <f aca="false">IF(AND(D22="รับราชการ",A22&lt;=สมมติฐาน!$B$23),สมมติฐาน!$B$22*12*E22,0)</f>
        <v>0</v>
      </c>
      <c r="K22" s="26" t="n">
        <f aca="false">IF(AND(D22="รับราชการ",สมมติฐาน!$B$26&gt;0,A22&gt;=สมมติฐาน!$B$29,A22&lt;สมมติฐาน!$B$29+สมมติฐาน!$B$30),สมมติฐาน!$B$28*สมมติฐาน!$B$26*E22,0)</f>
        <v>15523.2795654456</v>
      </c>
      <c r="L22" s="26" t="n">
        <f aca="false">G22*สมมติฐาน!$B$20</f>
        <v>9051.77530790929</v>
      </c>
      <c r="M22" s="25" t="n">
        <f aca="false">(1+สมมติฐาน!$B$39)^(A22-1)*(1+สมมติฐาน!$B$40)^(A22-1)</f>
        <v>1.67341811435403</v>
      </c>
      <c r="N22" s="23" t="n">
        <f aca="false">A22-สมมติฐาน!$B$31</f>
        <v>4</v>
      </c>
      <c r="O22" s="23" t="n">
        <f aca="false">C22+สมมติฐาน!$B$32</f>
        <v>63</v>
      </c>
      <c r="P22" s="26" t="n">
        <f aca="false">(1+สมมติฐาน!$B$25)*สมมติฐาน!$B$37*LOOKUP(C22,สมมติฐาน!$A$59:$A$64,สมมติฐาน!$B$59:$B$64)*สมมติฐาน!$B$34*M22</f>
        <v>13387.3449148322</v>
      </c>
      <c r="Q22" s="26" t="n">
        <f aca="false">IF(AND(สมมติฐาน!$B$26&gt;0,N22&gt;=0,N22&lt;=19),สมมติฐาน!$B$26*สมมติฐาน!$B$37*LOOKUP(MAX(N22,0),สมมติฐาน!$A$59:$A$64,สมมติฐาน!$B$59:$B$64)*สมมติฐาน!$B$34*M22,0)</f>
        <v>10040.5086861242</v>
      </c>
      <c r="R22" s="26" t="n">
        <f aca="false">IF(AND(สมมติฐาน!$B$27&gt;0,O22&lt;=สมมติฐาน!$B$33),สมมติฐาน!$B$27*สมมติฐาน!$B$37*LOOKUP(O22,สมมติฐาน!$A$59:$A$64,สมมติฐาน!$B$59:$B$64)*สมมติฐาน!$B$34*M22,0)</f>
        <v>46855.7072019127</v>
      </c>
      <c r="S22" s="26" t="n">
        <f aca="false">IF(D22="รับราชการ",0,$AD$6*12*(1+สมมติฐาน!$B$42)^(A22-38-1))</f>
        <v>0</v>
      </c>
      <c r="T22" s="26" t="n">
        <f aca="false">IF(C22=สมมติฐาน!$B$8,$AD$7,0)+IF(C22=65,$AD$9,0)+IF(C22=70,$AD$11,0)+IF(A22=57,$AD$12+$AD$13,0)</f>
        <v>0</v>
      </c>
      <c r="U22" s="26" t="n">
        <f aca="false">G22+H22+I22+J22+K22+L22+P22+Q22+R22+S22+T22</f>
        <v>411670.751453049</v>
      </c>
      <c r="V22" s="26" t="n">
        <f aca="false">U22/E22</f>
        <v>318234.880497354</v>
      </c>
      <c r="W22" s="25" t="n">
        <f aca="false">1/(1+สมมติฐาน!$B$41)^(A22-1)</f>
        <v>0.773032525080055</v>
      </c>
      <c r="X22" s="26" t="n">
        <f aca="false">V22*W22</f>
        <v>246005.913239419</v>
      </c>
    </row>
    <row r="23" customFormat="false" ht="15" hidden="false" customHeight="true" outlineLevel="0" collapsed="false">
      <c r="A23" s="20" t="n">
        <v>15</v>
      </c>
      <c r="B23" s="20" t="n">
        <f aca="false">สมมติฐาน!$B$38+A23-1</f>
        <v>2583</v>
      </c>
      <c r="C23" s="20" t="n">
        <f aca="false">สมมติฐาน!$B$7+A23-1</f>
        <v>36</v>
      </c>
      <c r="D23" s="21" t="str">
        <f aca="false">IF(C23&lt;สมมติฐาน!$B$8,"รับราชการ","รับบำนาญ")</f>
        <v>รับราชการ</v>
      </c>
      <c r="E23" s="22" t="n">
        <f aca="false">(1+สมมติฐาน!$B$39)^(A23-1)</f>
        <v>1.31947876306287</v>
      </c>
      <c r="F23" s="14" t="n">
        <f aca="false">IF(D23="รับราชการ",สมมติฐาน!$B$13*(1+สมมติฐาน!$B$15)^(A23-1)*E23,0)</f>
        <v>26313.8562077077</v>
      </c>
      <c r="G23" s="14" t="n">
        <f aca="false">F23*12</f>
        <v>315766.274492493</v>
      </c>
      <c r="H23" s="14" t="n">
        <f aca="false">IF(D23="รับราชการ",IF(A23&gt;=สมมติฐาน!$B$19,สมมติฐาน!$B$18,IF(A23&gt;=สมมติฐาน!$B$17,สมมติฐาน!$B$16,0))*12*E23,0)</f>
        <v>0</v>
      </c>
      <c r="I23" s="14" t="n">
        <f aca="false">G23*สมมติฐาน!$B$21</f>
        <v>15788.3137246246</v>
      </c>
      <c r="J23" s="14" t="n">
        <f aca="false">IF(AND(D23="รับราชการ",A23&lt;=สมมติฐาน!$B$23),สมมติฐาน!$B$22*12*E23,0)</f>
        <v>0</v>
      </c>
      <c r="K23" s="14" t="n">
        <f aca="false">IF(AND(D23="รับราชการ",สมมติฐาน!$B$26&gt;0,A23&gt;=สมมติฐาน!$B$29,A23&lt;สมมติฐาน!$B$29+สมมติฐาน!$B$30),สมมติฐาน!$B$28*สมมติฐาน!$B$26*E23,0)</f>
        <v>15833.7451567545</v>
      </c>
      <c r="L23" s="14" t="n">
        <f aca="false">G23*สมมติฐาน!$B$20</f>
        <v>9472.98823477478</v>
      </c>
      <c r="M23" s="22" t="n">
        <f aca="false">(1+สมมติฐาน!$B$39)^(A23-1)*(1+สมมติฐาน!$B$40)^(A23-1)</f>
        <v>1.74102420617393</v>
      </c>
      <c r="N23" s="20" t="n">
        <f aca="false">A23-สมมติฐาน!$B$31</f>
        <v>5</v>
      </c>
      <c r="O23" s="20" t="n">
        <f aca="false">C23+สมมติฐาน!$B$32</f>
        <v>64</v>
      </c>
      <c r="P23" s="14" t="n">
        <f aca="false">(1+สมมติฐาน!$B$25)*สมมติฐาน!$B$37*LOOKUP(C23,สมมติฐาน!$A$59:$A$64,สมมติฐาน!$B$59:$B$64)*สมมติฐาน!$B$34*M23</f>
        <v>13928.1936493914</v>
      </c>
      <c r="Q23" s="14" t="n">
        <f aca="false">IF(AND(สมมติฐาน!$B$26&gt;0,N23&gt;=0,N23&lt;=19),สมมติฐาน!$B$26*สมมติฐาน!$B$37*LOOKUP(MAX(N23,0),สมมติฐาน!$A$59:$A$64,สมมติฐาน!$B$59:$B$64)*สมมติฐาน!$B$34*M23,0)</f>
        <v>10446.1452370436</v>
      </c>
      <c r="R23" s="14" t="n">
        <f aca="false">IF(AND(สมมติฐาน!$B$27&gt;0,O23&lt;=สมมติฐาน!$B$33),สมมติฐาน!$B$27*สมมติฐาน!$B$37*LOOKUP(O23,สมมติฐาน!$A$59:$A$64,สมมติฐาน!$B$59:$B$64)*สมมติฐาน!$B$34*M23,0)</f>
        <v>48748.67777287</v>
      </c>
      <c r="S23" s="14" t="n">
        <f aca="false">IF(D23="รับราชการ",0,$AD$6*12*(1+สมมติฐาน!$B$42)^(A23-38-1))</f>
        <v>0</v>
      </c>
      <c r="T23" s="14" t="n">
        <f aca="false">IF(C23=สมมติฐาน!$B$8,$AD$7,0)+IF(C23=65,$AD$9,0)+IF(C23=70,$AD$11,0)+IF(A23=57,$AD$12+$AD$13,0)</f>
        <v>0</v>
      </c>
      <c r="U23" s="14" t="n">
        <f aca="false">G23+H23+I23+J23+K23+L23+P23+Q23+R23+S23+T23</f>
        <v>429984.338267951</v>
      </c>
      <c r="V23" s="14" t="n">
        <f aca="false">U23/E23</f>
        <v>325874.390937403</v>
      </c>
      <c r="W23" s="22" t="n">
        <f aca="false">1/(1+สมมติฐาน!$B$41)^(A23-1)</f>
        <v>0.757875024588289</v>
      </c>
      <c r="X23" s="14" t="n">
        <f aca="false">V23*W23</f>
        <v>246972.062044378</v>
      </c>
    </row>
    <row r="24" customFormat="false" ht="15" hidden="false" customHeight="true" outlineLevel="0" collapsed="false">
      <c r="A24" s="23" t="n">
        <v>16</v>
      </c>
      <c r="B24" s="23" t="n">
        <f aca="false">สมมติฐาน!$B$38+A24-1</f>
        <v>2584</v>
      </c>
      <c r="C24" s="23" t="n">
        <f aca="false">สมมติฐาน!$B$7+A24-1</f>
        <v>37</v>
      </c>
      <c r="D24" s="24" t="str">
        <f aca="false">IF(C24&lt;สมมติฐาน!$B$8,"รับราชการ","รับบำนาญ")</f>
        <v>รับราชการ</v>
      </c>
      <c r="E24" s="25" t="n">
        <f aca="false">(1+สมมติฐาน!$B$39)^(A24-1)</f>
        <v>1.34586833832413</v>
      </c>
      <c r="F24" s="26" t="n">
        <f aca="false">IF(D24="รับราชการ",สมมติฐาน!$B$13*(1+สมมติฐาน!$B$15)^(A24-1)*E24,0)</f>
        <v>27538.338258282</v>
      </c>
      <c r="G24" s="26" t="n">
        <f aca="false">F24*12</f>
        <v>330460.059099384</v>
      </c>
      <c r="H24" s="26" t="n">
        <f aca="false">IF(D24="รับราชการ",IF(A24&gt;=สมมติฐาน!$B$19,สมมติฐาน!$B$18,IF(A24&gt;=สมมติฐาน!$B$17,สมมติฐาน!$B$16,0))*12*E24,0)</f>
        <v>0</v>
      </c>
      <c r="I24" s="26" t="n">
        <f aca="false">G24*สมมติฐาน!$B$21</f>
        <v>16523.0029549692</v>
      </c>
      <c r="J24" s="26" t="n">
        <f aca="false">IF(AND(D24="รับราชการ",A24&lt;=สมมติฐาน!$B$23),สมมติฐาน!$B$22*12*E24,0)</f>
        <v>0</v>
      </c>
      <c r="K24" s="26" t="n">
        <f aca="false">IF(AND(D24="รับราชการ",สมมติฐาน!$B$26&gt;0,A24&gt;=สมมติฐาน!$B$29,A24&lt;สมมติฐาน!$B$29+สมมติฐาน!$B$30),สมมติฐาน!$B$28*สมมติฐาน!$B$26*E24,0)</f>
        <v>16150.4200598896</v>
      </c>
      <c r="L24" s="26" t="n">
        <f aca="false">G24*สมมติฐาน!$B$20</f>
        <v>9913.80177298151</v>
      </c>
      <c r="M24" s="25" t="n">
        <f aca="false">(1+สมมติฐาน!$B$39)^(A24-1)*(1+สมมติฐาน!$B$40)^(A24-1)</f>
        <v>1.81136158410335</v>
      </c>
      <c r="N24" s="23" t="n">
        <f aca="false">A24-สมมติฐาน!$B$31</f>
        <v>6</v>
      </c>
      <c r="O24" s="23" t="n">
        <f aca="false">C24+สมมติฐาน!$B$32</f>
        <v>65</v>
      </c>
      <c r="P24" s="26" t="n">
        <f aca="false">(1+สมมติฐาน!$B$25)*สมมติฐาน!$B$37*LOOKUP(C24,สมมติฐาน!$A$59:$A$64,สมมติฐาน!$B$59:$B$64)*สมมติฐาน!$B$34*M24</f>
        <v>14490.8926728268</v>
      </c>
      <c r="Q24" s="26" t="n">
        <f aca="false">IF(AND(สมมติฐาน!$B$26&gt;0,N24&gt;=0,N24&lt;=19),สมมติฐาน!$B$26*สมมติฐาน!$B$37*LOOKUP(MAX(N24,0),สมมติฐาน!$A$59:$A$64,สมมติฐาน!$B$59:$B$64)*สมมติฐาน!$B$34*M24,0)</f>
        <v>10868.1695046201</v>
      </c>
      <c r="R24" s="26" t="n">
        <f aca="false">IF(AND(สมมติฐาน!$B$27&gt;0,O24&lt;=สมมติฐาน!$B$33),สมมติฐาน!$B$27*สมมติฐาน!$B$37*LOOKUP(O24,สมมติฐาน!$A$59:$A$64,สมมติฐาน!$B$59:$B$64)*สมมติฐาน!$B$34*M24,0)</f>
        <v>50718.1243548939</v>
      </c>
      <c r="S24" s="26" t="n">
        <f aca="false">IF(D24="รับราชการ",0,$AD$6*12*(1+สมมติฐาน!$B$42)^(A24-38-1))</f>
        <v>0</v>
      </c>
      <c r="T24" s="26" t="n">
        <f aca="false">IF(C24=สมมติฐาน!$B$8,$AD$7,0)+IF(C24=65,$AD$9,0)+IF(C24=70,$AD$11,0)+IF(A24=57,$AD$12+$AD$13,0)</f>
        <v>0</v>
      </c>
      <c r="U24" s="26" t="n">
        <f aca="false">G24+H24+I24+J24+K24+L24+P24+Q24+R24+S24+T24</f>
        <v>449124.470419565</v>
      </c>
      <c r="V24" s="26" t="n">
        <f aca="false">U24/E24</f>
        <v>333706.09712003</v>
      </c>
      <c r="W24" s="25" t="n">
        <f aca="false">1/(1+สมมติฐาน!$B$41)^(A24-1)</f>
        <v>0.743014729988519</v>
      </c>
      <c r="X24" s="26" t="n">
        <f aca="false">V24*W24</f>
        <v>247948.545647161</v>
      </c>
    </row>
    <row r="25" customFormat="false" ht="15" hidden="false" customHeight="true" outlineLevel="0" collapsed="false">
      <c r="A25" s="20" t="n">
        <v>17</v>
      </c>
      <c r="B25" s="20" t="n">
        <f aca="false">สมมติฐาน!$B$38+A25-1</f>
        <v>2585</v>
      </c>
      <c r="C25" s="20" t="n">
        <f aca="false">สมมติฐาน!$B$7+A25-1</f>
        <v>38</v>
      </c>
      <c r="D25" s="21" t="str">
        <f aca="false">IF(C25&lt;สมมติฐาน!$B$8,"รับราชการ","รับบำนาญ")</f>
        <v>รับราชการ</v>
      </c>
      <c r="E25" s="22" t="n">
        <f aca="false">(1+สมมติฐาน!$B$39)^(A25-1)</f>
        <v>1.37278570509061</v>
      </c>
      <c r="F25" s="14" t="n">
        <f aca="false">IF(D25="รับราชการ",สมมติฐาน!$B$13*(1+สมมติฐาน!$B$15)^(A25-1)*E25,0)</f>
        <v>28819.8000339237</v>
      </c>
      <c r="G25" s="14" t="n">
        <f aca="false">F25*12</f>
        <v>345837.600407084</v>
      </c>
      <c r="H25" s="14" t="n">
        <f aca="false">IF(D25="รับราชการ",IF(A25&gt;=สมมติฐาน!$B$19,สมมติฐาน!$B$18,IF(A25&gt;=สมมติฐาน!$B$17,สมมติฐาน!$B$16,0))*12*E25,0)</f>
        <v>0</v>
      </c>
      <c r="I25" s="14" t="n">
        <f aca="false">G25*สมมติฐาน!$B$21</f>
        <v>17291.8800203542</v>
      </c>
      <c r="J25" s="14" t="n">
        <f aca="false">IF(AND(D25="รับราชการ",A25&lt;=สมมติฐาน!$B$23),สมมติฐาน!$B$22*12*E25,0)</f>
        <v>0</v>
      </c>
      <c r="K25" s="14" t="n">
        <f aca="false">IF(AND(D25="รับราชการ",สมมติฐาน!$B$26&gt;0,A25&gt;=สมมติฐาน!$B$29,A25&lt;สมมติฐาน!$B$29+สมมติฐาน!$B$30),สมมติฐาน!$B$28*สมมติฐาน!$B$26*E25,0)</f>
        <v>16473.4284610874</v>
      </c>
      <c r="L25" s="14" t="n">
        <f aca="false">G25*สมมติฐาน!$B$20</f>
        <v>10375.1280122125</v>
      </c>
      <c r="M25" s="22" t="n">
        <f aca="false">(1+สมมติฐาน!$B$39)^(A25-1)*(1+สมมติฐาน!$B$40)^(A25-1)</f>
        <v>1.88454059210113</v>
      </c>
      <c r="N25" s="20" t="n">
        <f aca="false">A25-สมมติฐาน!$B$31</f>
        <v>7</v>
      </c>
      <c r="O25" s="20" t="n">
        <f aca="false">C25+สมมติฐาน!$B$32</f>
        <v>66</v>
      </c>
      <c r="P25" s="14" t="n">
        <f aca="false">(1+สมมติฐาน!$B$25)*สมมติฐาน!$B$37*LOOKUP(C25,สมมติฐาน!$A$59:$A$64,สมมติฐาน!$B$59:$B$64)*สมมติฐาน!$B$34*M25</f>
        <v>15076.324736809</v>
      </c>
      <c r="Q25" s="14" t="n">
        <f aca="false">IF(AND(สมมติฐาน!$B$26&gt;0,N25&gt;=0,N25&lt;=19),สมมติฐาน!$B$26*สมมติฐาน!$B$37*LOOKUP(MAX(N25,0),สมมติฐาน!$A$59:$A$64,สมมติฐาน!$B$59:$B$64)*สมมติฐาน!$B$34*M25,0)</f>
        <v>11307.2435526068</v>
      </c>
      <c r="R25" s="14" t="n">
        <f aca="false">IF(AND(สมมติฐาน!$B$27&gt;0,O25&lt;=สมมติฐาน!$B$33),สมมติฐาน!$B$27*สมมติฐาน!$B$37*LOOKUP(O25,สมมติฐาน!$A$59:$A$64,สมมติฐาน!$B$59:$B$64)*สมมติฐาน!$B$34*M25,0)</f>
        <v>52767.1365788316</v>
      </c>
      <c r="S25" s="14" t="n">
        <f aca="false">IF(D25="รับราชการ",0,$AD$6*12*(1+สมมติฐาน!$B$42)^(A25-38-1))</f>
        <v>0</v>
      </c>
      <c r="T25" s="14" t="n">
        <f aca="false">IF(C25=สมมติฐาน!$B$8,$AD$7,0)+IF(C25=65,$AD$9,0)+IF(C25=70,$AD$11,0)+IF(A25=57,$AD$12+$AD$13,0)</f>
        <v>0</v>
      </c>
      <c r="U25" s="14" t="n">
        <f aca="false">G25+H25+I25+J25+K25+L25+P25+Q25+R25+S25+T25</f>
        <v>469128.741768985</v>
      </c>
      <c r="V25" s="14" t="n">
        <f aca="false">U25/E25</f>
        <v>341734.868034643</v>
      </c>
      <c r="W25" s="22" t="n">
        <f aca="false">1/(1+สมมติฐาน!$B$41)^(A25-1)</f>
        <v>0.728445813714234</v>
      </c>
      <c r="X25" s="14" t="n">
        <f aca="false">V25*W25</f>
        <v>248935.334020022</v>
      </c>
    </row>
    <row r="26" customFormat="false" ht="15" hidden="false" customHeight="true" outlineLevel="0" collapsed="false">
      <c r="A26" s="23" t="n">
        <v>18</v>
      </c>
      <c r="B26" s="23" t="n">
        <f aca="false">สมมติฐาน!$B$38+A26-1</f>
        <v>2586</v>
      </c>
      <c r="C26" s="23" t="n">
        <f aca="false">สมมติฐาน!$B$7+A26-1</f>
        <v>39</v>
      </c>
      <c r="D26" s="24" t="str">
        <f aca="false">IF(C26&lt;สมมติฐาน!$B$8,"รับราชการ","รับบำนาญ")</f>
        <v>รับราชการ</v>
      </c>
      <c r="E26" s="25" t="n">
        <f aca="false">(1+สมมติฐาน!$B$39)^(A26-1)</f>
        <v>1.40024141919242</v>
      </c>
      <c r="F26" s="26" t="n">
        <f aca="false">IF(D26="รับราชการ",สมมติฐาน!$B$13*(1+สมมติฐาน!$B$15)^(A26-1)*E26,0)</f>
        <v>30160.8930141438</v>
      </c>
      <c r="G26" s="26" t="n">
        <f aca="false">F26*12</f>
        <v>361930.716169726</v>
      </c>
      <c r="H26" s="26" t="n">
        <f aca="false">IF(D26="รับราชการ",IF(A26&gt;=สมมติฐาน!$B$19,สมมติฐาน!$B$18,IF(A26&gt;=สมมติฐาน!$B$17,สมมติฐาน!$B$16,0))*12*E26,0)</f>
        <v>0</v>
      </c>
      <c r="I26" s="26" t="n">
        <f aca="false">G26*สมมติฐาน!$B$21</f>
        <v>18096.5358084863</v>
      </c>
      <c r="J26" s="26" t="n">
        <f aca="false">IF(AND(D26="รับราชการ",A26&lt;=สมมติฐาน!$B$23),สมมติฐาน!$B$22*12*E26,0)</f>
        <v>0</v>
      </c>
      <c r="K26" s="26" t="n">
        <f aca="false">IF(AND(D26="รับราชการ",สมมติฐาน!$B$26&gt;0,A26&gt;=สมมติฐาน!$B$29,A26&lt;สมมติฐาน!$B$29+สมมติฐาน!$B$30),สมมติฐาน!$B$28*สมมติฐาน!$B$26*E26,0)</f>
        <v>16802.8970303091</v>
      </c>
      <c r="L26" s="26" t="n">
        <f aca="false">G26*สมมติฐาน!$B$20</f>
        <v>10857.9214850918</v>
      </c>
      <c r="M26" s="25" t="n">
        <f aca="false">(1+สมมติฐาน!$B$39)^(A26-1)*(1+สมมติฐาน!$B$40)^(A26-1)</f>
        <v>1.96067603202202</v>
      </c>
      <c r="N26" s="23" t="n">
        <f aca="false">A26-สมมติฐาน!$B$31</f>
        <v>8</v>
      </c>
      <c r="O26" s="23" t="n">
        <f aca="false">C26+สมมติฐาน!$B$32</f>
        <v>67</v>
      </c>
      <c r="P26" s="26" t="n">
        <f aca="false">(1+สมมติฐาน!$B$25)*สมมติฐาน!$B$37*LOOKUP(C26,สมมติฐาน!$A$59:$A$64,สมมติฐาน!$B$59:$B$64)*สมมติฐาน!$B$34*M26</f>
        <v>15685.4082561761</v>
      </c>
      <c r="Q26" s="26" t="n">
        <f aca="false">IF(AND(สมมติฐาน!$B$26&gt;0,N26&gt;=0,N26&lt;=19),สมมติฐาน!$B$26*สมมติฐาน!$B$37*LOOKUP(MAX(N26,0),สมมติฐาน!$A$59:$A$64,สมมติฐาน!$B$59:$B$64)*สมมติฐาน!$B$34*M26,0)</f>
        <v>11764.0561921321</v>
      </c>
      <c r="R26" s="26" t="n">
        <f aca="false">IF(AND(สมมติฐาน!$B$27&gt;0,O26&lt;=สมมติฐาน!$B$33),สมมติฐาน!$B$27*สมมติฐาน!$B$37*LOOKUP(O26,สมมติฐาน!$A$59:$A$64,สมมติฐาน!$B$59:$B$64)*สมมติฐาน!$B$34*M26,0)</f>
        <v>54898.9288966164</v>
      </c>
      <c r="S26" s="26" t="n">
        <f aca="false">IF(D26="รับราชการ",0,$AD$6*12*(1+สมมติฐาน!$B$42)^(A26-38-1))</f>
        <v>0</v>
      </c>
      <c r="T26" s="26" t="n">
        <f aca="false">IF(C26=สมมติฐาน!$B$8,$AD$7,0)+IF(C26=65,$AD$9,0)+IF(C26=70,$AD$11,0)+IF(A26=57,$AD$12+$AD$13,0)</f>
        <v>0</v>
      </c>
      <c r="U26" s="26" t="n">
        <f aca="false">G26+H26+I26+J26+K26+L26+P26+Q26+R26+S26+T26</f>
        <v>490036.463838537</v>
      </c>
      <c r="V26" s="26" t="n">
        <f aca="false">U26/E26</f>
        <v>349965.696716186</v>
      </c>
      <c r="W26" s="25" t="n">
        <f aca="false">1/(1+สมมติฐาน!$B$41)^(A26-1)</f>
        <v>0.714162562464936</v>
      </c>
      <c r="X26" s="26" t="n">
        <f aca="false">V26*W26</f>
        <v>249932.398741658</v>
      </c>
    </row>
    <row r="27" customFormat="false" ht="15" hidden="false" customHeight="true" outlineLevel="0" collapsed="false">
      <c r="A27" s="20" t="n">
        <v>19</v>
      </c>
      <c r="B27" s="20" t="n">
        <f aca="false">สมมติฐาน!$B$38+A27-1</f>
        <v>2587</v>
      </c>
      <c r="C27" s="20" t="n">
        <f aca="false">สมมติฐาน!$B$7+A27-1</f>
        <v>40</v>
      </c>
      <c r="D27" s="21" t="str">
        <f aca="false">IF(C27&lt;สมมติฐาน!$B$8,"รับราชการ","รับบำนาญ")</f>
        <v>รับราชการ</v>
      </c>
      <c r="E27" s="22" t="n">
        <f aca="false">(1+สมมติฐาน!$B$39)^(A27-1)</f>
        <v>1.42824624757627</v>
      </c>
      <c r="F27" s="14" t="n">
        <f aca="false">IF(D27="รับราชการ",สมมติฐาน!$B$13*(1+สมมติฐาน!$B$15)^(A27-1)*E27,0)</f>
        <v>31564.3920617023</v>
      </c>
      <c r="G27" s="14" t="n">
        <f aca="false">F27*12</f>
        <v>378772.704740428</v>
      </c>
      <c r="H27" s="14" t="n">
        <f aca="false">IF(D27="รับราชการ",IF(A27&gt;=สมมติฐาน!$B$19,สมมติฐาน!$B$18,IF(A27&gt;=สมมติฐาน!$B$17,สมมติฐาน!$B$16,0))*12*E27,0)</f>
        <v>0</v>
      </c>
      <c r="I27" s="14" t="n">
        <f aca="false">G27*สมมติฐาน!$B$21</f>
        <v>18938.6352370214</v>
      </c>
      <c r="J27" s="14" t="n">
        <f aca="false">IF(AND(D27="รับราชการ",A27&lt;=สมมติฐาน!$B$23),สมมติฐาน!$B$22*12*E27,0)</f>
        <v>0</v>
      </c>
      <c r="K27" s="14" t="n">
        <f aca="false">IF(AND(D27="รับราชการ",สมมติฐาน!$B$26&gt;0,A27&gt;=สมมติฐาน!$B$29,A27&lt;สมมติฐาน!$B$29+สมมติฐาน!$B$30),สมมติฐาน!$B$28*สมมติฐาน!$B$26*E27,0)</f>
        <v>17138.9549709153</v>
      </c>
      <c r="L27" s="14" t="n">
        <f aca="false">G27*สมมติฐาน!$B$20</f>
        <v>11363.1811422128</v>
      </c>
      <c r="M27" s="22" t="n">
        <f aca="false">(1+สมมติฐาน!$B$39)^(A27-1)*(1+สมมติฐาน!$B$40)^(A27-1)</f>
        <v>2.03988734371571</v>
      </c>
      <c r="N27" s="20" t="n">
        <f aca="false">A27-สมมติฐาน!$B$31</f>
        <v>9</v>
      </c>
      <c r="O27" s="20" t="n">
        <f aca="false">C27+สมมติฐาน!$B$32</f>
        <v>68</v>
      </c>
      <c r="P27" s="14" t="n">
        <f aca="false">(1+สมมติฐาน!$B$25)*สมมติฐาน!$B$37*LOOKUP(C27,สมมติฐาน!$A$59:$A$64,สมมติฐาน!$B$59:$B$64)*สมมติฐาน!$B$34*M27</f>
        <v>16319.0987497256</v>
      </c>
      <c r="Q27" s="14" t="n">
        <f aca="false">IF(AND(สมมติฐาน!$B$26&gt;0,N27&gt;=0,N27&lt;=19),สมมติฐาน!$B$26*สมมติฐาน!$B$37*LOOKUP(MAX(N27,0),สมมติฐาน!$A$59:$A$64,สมมติฐาน!$B$59:$B$64)*สมมติฐาน!$B$34*M27,0)</f>
        <v>12239.3240622942</v>
      </c>
      <c r="R27" s="14" t="n">
        <f aca="false">IF(AND(สมมติฐาน!$B$27&gt;0,O27&lt;=สมมติฐาน!$B$33),สมมติฐาน!$B$27*สมมติฐาน!$B$37*LOOKUP(O27,สมมติฐาน!$A$59:$A$64,สมมติฐาน!$B$59:$B$64)*สมมติฐาน!$B$34*M27,0)</f>
        <v>57116.8456240398</v>
      </c>
      <c r="S27" s="14" t="n">
        <f aca="false">IF(D27="รับราชการ",0,$AD$6*12*(1+สมมติฐาน!$B$42)^(A27-38-1))</f>
        <v>0</v>
      </c>
      <c r="T27" s="14" t="n">
        <f aca="false">IF(C27=สมมติฐาน!$B$8,$AD$7,0)+IF(C27=65,$AD$9,0)+IF(C27=70,$AD$11,0)+IF(A27=57,$AD$12+$AD$13,0)</f>
        <v>0</v>
      </c>
      <c r="U27" s="14" t="n">
        <f aca="false">G27+H27+I27+J27+K27+L27+P27+Q27+R27+S27+T27</f>
        <v>511888.744526637</v>
      </c>
      <c r="V27" s="14" t="n">
        <f aca="false">U27/E27</f>
        <v>358403.703419708</v>
      </c>
      <c r="W27" s="22" t="n">
        <f aca="false">1/(1+สมมติฐาน!$B$41)^(A27-1)</f>
        <v>0.700159374965623</v>
      </c>
      <c r="X27" s="14" t="n">
        <f aca="false">V27*W27</f>
        <v>250939.712971707</v>
      </c>
    </row>
    <row r="28" customFormat="false" ht="15" hidden="false" customHeight="true" outlineLevel="0" collapsed="false">
      <c r="A28" s="23" t="n">
        <v>20</v>
      </c>
      <c r="B28" s="23" t="n">
        <f aca="false">สมมติฐาน!$B$38+A28-1</f>
        <v>2588</v>
      </c>
      <c r="C28" s="23" t="n">
        <f aca="false">สมมติฐาน!$B$7+A28-1</f>
        <v>41</v>
      </c>
      <c r="D28" s="24" t="str">
        <f aca="false">IF(C28&lt;สมมติฐาน!$B$8,"รับราชการ","รับบำนาญ")</f>
        <v>รับราชการ</v>
      </c>
      <c r="E28" s="25" t="n">
        <f aca="false">(1+สมมติฐาน!$B$39)^(A28-1)</f>
        <v>1.4568111725278</v>
      </c>
      <c r="F28" s="26" t="n">
        <f aca="false">IF(D28="รับราชการ",สมมติฐาน!$B$13*(1+สมมติฐาน!$B$15)^(A28-1)*E28,0)</f>
        <v>33033.2011640916</v>
      </c>
      <c r="G28" s="26" t="n">
        <f aca="false">F28*12</f>
        <v>396398.413969099</v>
      </c>
      <c r="H28" s="26" t="n">
        <f aca="false">IF(D28="รับราชการ",IF(A28&gt;=สมมติฐาน!$B$19,สมมติฐาน!$B$18,IF(A28&gt;=สมมติฐาน!$B$17,สมมติฐาน!$B$16,0))*12*E28,0)</f>
        <v>0</v>
      </c>
      <c r="I28" s="26" t="n">
        <f aca="false">G28*สมมติฐาน!$B$21</f>
        <v>19819.920698455</v>
      </c>
      <c r="J28" s="26" t="n">
        <f aca="false">IF(AND(D28="รับราชการ",A28&lt;=สมมติฐาน!$B$23),สมมติฐาน!$B$22*12*E28,0)</f>
        <v>0</v>
      </c>
      <c r="K28" s="26" t="n">
        <f aca="false">IF(AND(D28="รับราชการ",สมมติฐาน!$B$26&gt;0,A28&gt;=สมมติฐาน!$B$29,A28&lt;สมมติฐาน!$B$29+สมมติฐาน!$B$30),สมมติฐาน!$B$28*สมมติฐาน!$B$26*E28,0)</f>
        <v>17481.7340703336</v>
      </c>
      <c r="L28" s="26" t="n">
        <f aca="false">G28*สมมติฐาน!$B$20</f>
        <v>11891.952419073</v>
      </c>
      <c r="M28" s="25" t="n">
        <f aca="false">(1+สมมติฐาน!$B$39)^(A28-1)*(1+สมมติฐาน!$B$40)^(A28-1)</f>
        <v>2.12229879240182</v>
      </c>
      <c r="N28" s="23" t="n">
        <f aca="false">A28-สมมติฐาน!$B$31</f>
        <v>10</v>
      </c>
      <c r="O28" s="23" t="n">
        <f aca="false">C28+สมมติฐาน!$B$32</f>
        <v>69</v>
      </c>
      <c r="P28" s="26" t="n">
        <f aca="false">(1+สมมติฐาน!$B$25)*สมมติฐาน!$B$37*LOOKUP(C28,สมมติฐาน!$A$59:$A$64,สมมติฐาน!$B$59:$B$64)*สมมติฐาน!$B$34*M28</f>
        <v>16978.3903392146</v>
      </c>
      <c r="Q28" s="26" t="n">
        <f aca="false">IF(AND(สมมติฐาน!$B$26&gt;0,N28&gt;=0,N28&lt;=19),สมมติฐาน!$B$26*สมมติฐาน!$B$37*LOOKUP(MAX(N28,0),สมมติฐาน!$A$59:$A$64,สมมติฐาน!$B$59:$B$64)*สมมติฐาน!$B$34*M28,0)</f>
        <v>12733.7927544109</v>
      </c>
      <c r="R28" s="26" t="n">
        <f aca="false">IF(AND(สมมติฐาน!$B$27&gt;0,O28&lt;=สมมติฐาน!$B$33),สมมติฐาน!$B$27*สมมติฐาน!$B$37*LOOKUP(O28,สมมติฐาน!$A$59:$A$64,สมมติฐาน!$B$59:$B$64)*สมมติฐาน!$B$34*M28,0)</f>
        <v>59424.366187251</v>
      </c>
      <c r="S28" s="26" t="n">
        <f aca="false">IF(D28="รับราชการ",0,$AD$6*12*(1+สมมติฐาน!$B$42)^(A28-38-1))</f>
        <v>0</v>
      </c>
      <c r="T28" s="26" t="n">
        <f aca="false">IF(C28=สมมติฐาน!$B$8,$AD$7,0)+IF(C28=65,$AD$9,0)+IF(C28=70,$AD$11,0)+IF(A28=57,$AD$12+$AD$13,0)</f>
        <v>0</v>
      </c>
      <c r="U28" s="26" t="n">
        <f aca="false">G28+H28+I28+J28+K28+L28+P28+Q28+R28+S28+T28</f>
        <v>534728.570437837</v>
      </c>
      <c r="V28" s="26" t="n">
        <f aca="false">U28/E28</f>
        <v>367054.138876488</v>
      </c>
      <c r="W28" s="25" t="n">
        <f aca="false">1/(1+สมมติฐาน!$B$41)^(A28-1)</f>
        <v>0.686430759770219</v>
      </c>
      <c r="X28" s="26" t="n">
        <f aca="false">V28*W28</f>
        <v>251957.251425791</v>
      </c>
    </row>
    <row r="29" customFormat="false" ht="15" hidden="false" customHeight="true" outlineLevel="0" collapsed="false">
      <c r="A29" s="20" t="n">
        <v>21</v>
      </c>
      <c r="B29" s="20" t="n">
        <f aca="false">สมมติฐาน!$B$38+A29-1</f>
        <v>2589</v>
      </c>
      <c r="C29" s="20" t="n">
        <f aca="false">สมมติฐาน!$B$7+A29-1</f>
        <v>42</v>
      </c>
      <c r="D29" s="21" t="str">
        <f aca="false">IF(C29&lt;สมมติฐาน!$B$8,"รับราชการ","รับบำนาญ")</f>
        <v>รับราชการ</v>
      </c>
      <c r="E29" s="22" t="n">
        <f aca="false">(1+สมมติฐาน!$B$39)^(A29-1)</f>
        <v>1.48594739597836</v>
      </c>
      <c r="F29" s="14" t="n">
        <f aca="false">IF(D29="รับราชการ",สมมติฐาน!$B$13*(1+สมมติฐาน!$B$15)^(A29-1)*E29,0)</f>
        <v>34570.3594421927</v>
      </c>
      <c r="G29" s="14" t="n">
        <f aca="false">F29*12</f>
        <v>414844.313306312</v>
      </c>
      <c r="H29" s="14" t="n">
        <f aca="false">IF(D29="รับราชการ",IF(A29&gt;=สมมติฐาน!$B$19,สมมติฐาน!$B$18,IF(A29&gt;=สมมติฐาน!$B$17,สมมติฐาน!$B$16,0))*12*E29,0)</f>
        <v>0</v>
      </c>
      <c r="I29" s="14" t="n">
        <f aca="false">G29*สมมติฐาน!$B$21</f>
        <v>20742.2156653156</v>
      </c>
      <c r="J29" s="14" t="n">
        <f aca="false">IF(AND(D29="รับราชการ",A29&lt;=สมมติฐาน!$B$23),สมมติฐาน!$B$22*12*E29,0)</f>
        <v>0</v>
      </c>
      <c r="K29" s="14" t="n">
        <f aca="false">IF(AND(D29="รับราชการ",สมมติฐาน!$B$26&gt;0,A29&gt;=สมมติฐาน!$B$29,A29&lt;สมมติฐาน!$B$29+สมมติฐาน!$B$30),สมมติฐาน!$B$28*สมมติฐาน!$B$26*E29,0)</f>
        <v>17831.3687517403</v>
      </c>
      <c r="L29" s="14" t="n">
        <f aca="false">G29*สมมติฐาน!$B$20</f>
        <v>12445.3293991894</v>
      </c>
      <c r="M29" s="22" t="n">
        <f aca="false">(1+สมมติฐาน!$B$39)^(A29-1)*(1+สมมติฐาน!$B$40)^(A29-1)</f>
        <v>2.20803966361485</v>
      </c>
      <c r="N29" s="20" t="n">
        <f aca="false">A29-สมมติฐาน!$B$31</f>
        <v>11</v>
      </c>
      <c r="O29" s="20" t="n">
        <f aca="false">C29+สมมติฐาน!$B$32</f>
        <v>70</v>
      </c>
      <c r="P29" s="14" t="n">
        <f aca="false">(1+สมมติฐาน!$B$25)*สมมติฐาน!$B$37*LOOKUP(C29,สมมติฐาน!$A$59:$A$64,สมมติฐาน!$B$59:$B$64)*สมมติฐาน!$B$34*M29</f>
        <v>17664.3173089188</v>
      </c>
      <c r="Q29" s="14" t="n">
        <f aca="false">IF(AND(สมมติฐาน!$B$26&gt;0,N29&gt;=0,N29&lt;=19),สมมติฐาน!$B$26*สมมติฐาน!$B$37*LOOKUP(MAX(N29,0),สมมติฐาน!$A$59:$A$64,สมมติฐาน!$B$59:$B$64)*สมมติฐาน!$B$34*M29,0)</f>
        <v>13248.2379816891</v>
      </c>
      <c r="R29" s="14" t="n">
        <f aca="false">IF(AND(สมมติฐาน!$B$27&gt;0,O29&lt;=สมมติฐาน!$B$33),สมมติฐาน!$B$27*สมมติฐาน!$B$37*LOOKUP(O29,สมมติฐาน!$A$59:$A$64,สมมติฐาน!$B$59:$B$64)*สมมติฐาน!$B$34*M29,0)</f>
        <v>99361.7848626684</v>
      </c>
      <c r="S29" s="14" t="n">
        <f aca="false">IF(D29="รับราชการ",0,$AD$6*12*(1+สมมติฐาน!$B$42)^(A29-38-1))</f>
        <v>0</v>
      </c>
      <c r="T29" s="14" t="n">
        <f aca="false">IF(C29=สมมติฐาน!$B$8,$AD$7,0)+IF(C29=65,$AD$9,0)+IF(C29=70,$AD$11,0)+IF(A29=57,$AD$12+$AD$13,0)</f>
        <v>0</v>
      </c>
      <c r="U29" s="14" t="n">
        <f aca="false">G29+H29+I29+J29+K29+L29+P29+Q29+R29+S29+T29</f>
        <v>596137.567275834</v>
      </c>
      <c r="V29" s="14" t="n">
        <f aca="false">U29/E29</f>
        <v>401183.493365412</v>
      </c>
      <c r="W29" s="22" t="n">
        <f aca="false">1/(1+สมมติฐาน!$B$41)^(A29-1)</f>
        <v>0.672971333108058</v>
      </c>
      <c r="X29" s="14" t="n">
        <f aca="false">V29*W29</f>
        <v>269984.990351069</v>
      </c>
    </row>
    <row r="30" customFormat="false" ht="15" hidden="false" customHeight="true" outlineLevel="0" collapsed="false">
      <c r="A30" s="23" t="n">
        <v>22</v>
      </c>
      <c r="B30" s="23" t="n">
        <f aca="false">สมมติฐาน!$B$38+A30-1</f>
        <v>2590</v>
      </c>
      <c r="C30" s="23" t="n">
        <f aca="false">สมมติฐาน!$B$7+A30-1</f>
        <v>43</v>
      </c>
      <c r="D30" s="24" t="str">
        <f aca="false">IF(C30&lt;สมมติฐาน!$B$8,"รับราชการ","รับบำนาญ")</f>
        <v>รับราชการ</v>
      </c>
      <c r="E30" s="25" t="n">
        <f aca="false">(1+สมมติฐาน!$B$39)^(A30-1)</f>
        <v>1.51566634389792</v>
      </c>
      <c r="F30" s="26" t="n">
        <f aca="false">IF(D30="รับราชการ",สมมติฐาน!$B$13*(1+สมมติฐาน!$B$15)^(A30-1)*E30,0)</f>
        <v>36179.0474385368</v>
      </c>
      <c r="G30" s="26" t="n">
        <f aca="false">F30*12</f>
        <v>434148.569262442</v>
      </c>
      <c r="H30" s="26" t="n">
        <f aca="false">IF(D30="รับราชการ",IF(A30&gt;=สมมติฐาน!$B$19,สมมติฐาน!$B$18,IF(A30&gt;=สมมติฐาน!$B$17,สมมติฐาน!$B$16,0))*12*E30,0)</f>
        <v>0</v>
      </c>
      <c r="I30" s="26" t="n">
        <f aca="false">G30*สมมติฐาน!$B$21</f>
        <v>21707.4284631221</v>
      </c>
      <c r="J30" s="26" t="n">
        <f aca="false">IF(AND(D30="รับราชการ",A30&lt;=สมมติฐาน!$B$23),สมมติฐาน!$B$22*12*E30,0)</f>
        <v>0</v>
      </c>
      <c r="K30" s="26" t="n">
        <f aca="false">IF(AND(D30="รับราชการ",สมมติฐาน!$B$26&gt;0,A30&gt;=สมมติฐาน!$B$29,A30&lt;สมมติฐาน!$B$29+สมมติฐาน!$B$30),สมมติฐาน!$B$28*สมมติฐาน!$B$26*E30,0)</f>
        <v>18187.9961267751</v>
      </c>
      <c r="L30" s="26" t="n">
        <f aca="false">G30*สมมติฐาน!$B$20</f>
        <v>13024.4570778733</v>
      </c>
      <c r="M30" s="25" t="n">
        <f aca="false">(1+สมมติฐาน!$B$39)^(A30-1)*(1+สมมติฐาน!$B$40)^(A30-1)</f>
        <v>2.29724446602489</v>
      </c>
      <c r="N30" s="23" t="n">
        <f aca="false">A30-สมมติฐาน!$B$31</f>
        <v>12</v>
      </c>
      <c r="O30" s="23" t="n">
        <f aca="false">C30+สมมติฐาน!$B$32</f>
        <v>71</v>
      </c>
      <c r="P30" s="26" t="n">
        <f aca="false">(1+สมมติฐาน!$B$25)*สมมติฐาน!$B$37*LOOKUP(C30,สมมติฐาน!$A$59:$A$64,สมมติฐาน!$B$59:$B$64)*สมมติฐาน!$B$34*M30</f>
        <v>18377.9557281991</v>
      </c>
      <c r="Q30" s="26" t="n">
        <f aca="false">IF(AND(สมมติฐาน!$B$26&gt;0,N30&gt;=0,N30&lt;=19),สมมติฐาน!$B$26*สมมติฐาน!$B$37*LOOKUP(MAX(N30,0),สมมติฐาน!$A$59:$A$64,สมมติฐาน!$B$59:$B$64)*สมมติฐาน!$B$34*M30,0)</f>
        <v>13783.4667961494</v>
      </c>
      <c r="R30" s="26" t="n">
        <f aca="false">IF(AND(สมมติฐาน!$B$27&gt;0,O30&lt;=สมมติฐาน!$B$33),สมมติฐาน!$B$27*สมมติฐาน!$B$37*LOOKUP(O30,สมมติฐาน!$A$59:$A$64,สมมติฐาน!$B$59:$B$64)*สมมติฐาน!$B$34*M30,0)</f>
        <v>103376.00097112</v>
      </c>
      <c r="S30" s="26" t="n">
        <f aca="false">IF(D30="รับราชการ",0,$AD$6*12*(1+สมมติฐาน!$B$42)^(A30-38-1))</f>
        <v>0</v>
      </c>
      <c r="T30" s="26" t="n">
        <f aca="false">IF(C30=สมมติฐาน!$B$8,$AD$7,0)+IF(C30=65,$AD$9,0)+IF(C30=70,$AD$11,0)+IF(A30=57,$AD$12+$AD$13,0)</f>
        <v>0</v>
      </c>
      <c r="U30" s="26" t="n">
        <f aca="false">G30+H30+I30+J30+K30+L30+P30+Q30+R30+S30+T30</f>
        <v>622605.874425681</v>
      </c>
      <c r="V30" s="26" t="n">
        <f aca="false">U30/E30</f>
        <v>410780.299326626</v>
      </c>
      <c r="W30" s="25" t="n">
        <f aca="false">1/(1+สมมติฐาน!$B$41)^(A30-1)</f>
        <v>0.659775816772605</v>
      </c>
      <c r="X30" s="26" t="n">
        <f aca="false">V30*W30</f>
        <v>271022.90750232</v>
      </c>
    </row>
    <row r="31" customFormat="false" ht="15" hidden="false" customHeight="true" outlineLevel="0" collapsed="false">
      <c r="A31" s="20" t="n">
        <v>23</v>
      </c>
      <c r="B31" s="20" t="n">
        <f aca="false">สมมติฐาน!$B$38+A31-1</f>
        <v>2591</v>
      </c>
      <c r="C31" s="20" t="n">
        <f aca="false">สมมติฐาน!$B$7+A31-1</f>
        <v>44</v>
      </c>
      <c r="D31" s="21" t="str">
        <f aca="false">IF(C31&lt;สมมติฐาน!$B$8,"รับราชการ","รับบำนาญ")</f>
        <v>รับราชการ</v>
      </c>
      <c r="E31" s="22" t="n">
        <f aca="false">(1+สมมติฐาน!$B$39)^(A31-1)</f>
        <v>1.54597967077588</v>
      </c>
      <c r="F31" s="14" t="n">
        <f aca="false">IF(D31="รับราชการ",สมมติฐาน!$B$13*(1+สมมติฐาน!$B$15)^(A31-1)*E31,0)</f>
        <v>37862.5936981834</v>
      </c>
      <c r="G31" s="14" t="n">
        <f aca="false">F31*12</f>
        <v>454351.1243782</v>
      </c>
      <c r="H31" s="14" t="n">
        <f aca="false">IF(D31="รับราชการ",IF(A31&gt;=สมมติฐาน!$B$19,สมมติฐาน!$B$18,IF(A31&gt;=สมมติฐาน!$B$17,สมมติฐาน!$B$16,0))*12*E31,0)</f>
        <v>0</v>
      </c>
      <c r="I31" s="14" t="n">
        <f aca="false">G31*สมมติฐาน!$B$21</f>
        <v>22717.55621891</v>
      </c>
      <c r="J31" s="14" t="n">
        <f aca="false">IF(AND(D31="รับราชการ",A31&lt;=สมมติฐาน!$B$23),สมมติฐาน!$B$22*12*E31,0)</f>
        <v>0</v>
      </c>
      <c r="K31" s="14" t="n">
        <f aca="false">IF(AND(D31="รับราชการ",สมมติฐาน!$B$26&gt;0,A31&gt;=สมมติฐาน!$B$29,A31&lt;สมมติฐาน!$B$29+สมมติฐาน!$B$30),สมมติฐาน!$B$28*สมมติฐาน!$B$26*E31,0)</f>
        <v>18551.7560493106</v>
      </c>
      <c r="L31" s="14" t="n">
        <f aca="false">G31*สมมติฐาน!$B$20</f>
        <v>13630.533731346</v>
      </c>
      <c r="M31" s="22" t="n">
        <f aca="false">(1+สมมติฐาน!$B$39)^(A31-1)*(1+สมมติฐาน!$B$40)^(A31-1)</f>
        <v>2.3900531424523</v>
      </c>
      <c r="N31" s="20" t="n">
        <f aca="false">A31-สมมติฐาน!$B$31</f>
        <v>13</v>
      </c>
      <c r="O31" s="20" t="n">
        <f aca="false">C31+สมมติฐาน!$B$32</f>
        <v>72</v>
      </c>
      <c r="P31" s="14" t="n">
        <f aca="false">(1+สมมติฐาน!$B$25)*สมมติฐาน!$B$37*LOOKUP(C31,สมมติฐาน!$A$59:$A$64,สมมติฐาน!$B$59:$B$64)*สมมติฐาน!$B$34*M31</f>
        <v>19120.4251396184</v>
      </c>
      <c r="Q31" s="14" t="n">
        <f aca="false">IF(AND(สมมติฐาน!$B$26&gt;0,N31&gt;=0,N31&lt;=19),สมมติฐาน!$B$26*สมมติฐาน!$B$37*LOOKUP(MAX(N31,0),สมมติฐาน!$A$59:$A$64,สมมติฐาน!$B$59:$B$64)*สมมติฐาน!$B$34*M31,0)</f>
        <v>14340.3188547138</v>
      </c>
      <c r="R31" s="14" t="n">
        <f aca="false">IF(AND(สมมติฐาน!$B$27&gt;0,O31&lt;=สมมติฐาน!$B$33),สมมติฐาน!$B$27*สมมติฐาน!$B$37*LOOKUP(O31,สมมติฐาน!$A$59:$A$64,สมมติฐาน!$B$59:$B$64)*สมมติฐาน!$B$34*M31,0)</f>
        <v>107552.391410353</v>
      </c>
      <c r="S31" s="14" t="n">
        <f aca="false">IF(D31="รับราชการ",0,$AD$6*12*(1+สมมติฐาน!$B$42)^(A31-38-1))</f>
        <v>0</v>
      </c>
      <c r="T31" s="14" t="n">
        <f aca="false">IF(C31=สมมติฐาน!$B$8,$AD$7,0)+IF(C31=65,$AD$9,0)+IF(C31=70,$AD$11,0)+IF(A31=57,$AD$12+$AD$13,0)</f>
        <v>0</v>
      </c>
      <c r="U31" s="14" t="n">
        <f aca="false">G31+H31+I31+J31+K31+L31+P31+Q31+R31+S31+T31</f>
        <v>650264.105782453</v>
      </c>
      <c r="V31" s="14" t="n">
        <f aca="false">U31/E31</f>
        <v>420616.20736326</v>
      </c>
      <c r="W31" s="22" t="n">
        <f aca="false">1/(1+สมมติฐาน!$B$41)^(A31-1)</f>
        <v>0.646839036051574</v>
      </c>
      <c r="X31" s="14" t="n">
        <f aca="false">V31*W31</f>
        <v>272070.98211852</v>
      </c>
    </row>
    <row r="32" customFormat="false" ht="15" hidden="false" customHeight="true" outlineLevel="0" collapsed="false">
      <c r="A32" s="23" t="n">
        <v>24</v>
      </c>
      <c r="B32" s="23" t="n">
        <f aca="false">สมมติฐาน!$B$38+A32-1</f>
        <v>2592</v>
      </c>
      <c r="C32" s="23" t="n">
        <f aca="false">สมมติฐาน!$B$7+A32-1</f>
        <v>45</v>
      </c>
      <c r="D32" s="24" t="str">
        <f aca="false">IF(C32&lt;สมมติฐาน!$B$8,"รับราชการ","รับบำนาญ")</f>
        <v>รับราชการ</v>
      </c>
      <c r="E32" s="25" t="n">
        <f aca="false">(1+สมมติฐาน!$B$39)^(A32-1)</f>
        <v>1.5768992641914</v>
      </c>
      <c r="F32" s="26" t="n">
        <f aca="false">IF(D32="รับราชการ",สมมติฐาน!$B$13*(1+สมมติฐาน!$B$15)^(A32-1)*E32,0)</f>
        <v>39624.4816558303</v>
      </c>
      <c r="G32" s="26" t="n">
        <f aca="false">F32*12</f>
        <v>475493.779869963</v>
      </c>
      <c r="H32" s="26" t="n">
        <f aca="false">IF(D32="รับราชการ",IF(A32&gt;=สมมติฐาน!$B$19,สมมติฐาน!$B$18,IF(A32&gt;=สมมติฐาน!$B$17,สมมติฐาน!$B$16,0))*12*E32,0)</f>
        <v>0</v>
      </c>
      <c r="I32" s="26" t="n">
        <f aca="false">G32*สมมติฐาน!$B$21</f>
        <v>23774.6889934982</v>
      </c>
      <c r="J32" s="26" t="n">
        <f aca="false">IF(AND(D32="รับราชการ",A32&lt;=สมมติฐาน!$B$23),สมมติฐาน!$B$22*12*E32,0)</f>
        <v>0</v>
      </c>
      <c r="K32" s="26" t="n">
        <f aca="false">IF(AND(D32="รับราชการ",สมมติฐาน!$B$26&gt;0,A32&gt;=สมมติฐาน!$B$29,A32&lt;สมมติฐาน!$B$29+สมมติฐาน!$B$30),สมมติฐาน!$B$28*สมมติฐาน!$B$26*E32,0)</f>
        <v>18922.7911702968</v>
      </c>
      <c r="L32" s="26" t="n">
        <f aca="false">G32*สมมติฐาน!$B$20</f>
        <v>14264.8133960989</v>
      </c>
      <c r="M32" s="25" t="n">
        <f aca="false">(1+สมมติฐาน!$B$39)^(A32-1)*(1+สมมติฐาน!$B$40)^(A32-1)</f>
        <v>2.48661128940737</v>
      </c>
      <c r="N32" s="23" t="n">
        <f aca="false">A32-สมมติฐาน!$B$31</f>
        <v>14</v>
      </c>
      <c r="O32" s="23" t="n">
        <f aca="false">C32+สมมติฐาน!$B$32</f>
        <v>73</v>
      </c>
      <c r="P32" s="26" t="n">
        <f aca="false">(1+สมมติฐาน!$B$25)*สมมติฐาน!$B$37*LOOKUP(C32,สมมติฐาน!$A$59:$A$64,สมมติฐาน!$B$59:$B$64)*สมมติฐาน!$B$34*M32</f>
        <v>34812.5580517032</v>
      </c>
      <c r="Q32" s="26" t="n">
        <f aca="false">IF(AND(สมมติฐาน!$B$26&gt;0,N32&gt;=0,N32&lt;=19),สมมติฐาน!$B$26*สมมติฐาน!$B$37*LOOKUP(MAX(N32,0),สมมติฐาน!$A$59:$A$64,สมมติฐาน!$B$59:$B$64)*สมมติฐาน!$B$34*M32,0)</f>
        <v>14919.6677364442</v>
      </c>
      <c r="R32" s="26" t="n">
        <f aca="false">IF(AND(สมมติฐาน!$B$27&gt;0,O32&lt;=สมมติฐาน!$B$33),สมมติฐาน!$B$27*สมมติฐาน!$B$37*LOOKUP(O32,สมมติฐาน!$A$59:$A$64,สมมติฐาน!$B$59:$B$64)*สมมติฐาน!$B$34*M32,0)</f>
        <v>111897.508023332</v>
      </c>
      <c r="S32" s="26" t="n">
        <f aca="false">IF(D32="รับราชการ",0,$AD$6*12*(1+สมมติฐาน!$B$42)^(A32-38-1))</f>
        <v>0</v>
      </c>
      <c r="T32" s="26" t="n">
        <f aca="false">IF(C32=สมมติฐาน!$B$8,$AD$7,0)+IF(C32=65,$AD$9,0)+IF(C32=70,$AD$11,0)+IF(A32=57,$AD$12+$AD$13,0)</f>
        <v>0</v>
      </c>
      <c r="U32" s="26" t="n">
        <f aca="false">G32+H32+I32+J32+K32+L32+P32+Q32+R32+S32+T32</f>
        <v>694085.807241336</v>
      </c>
      <c r="V32" s="26" t="n">
        <f aca="false">U32/E32</f>
        <v>440158.622052024</v>
      </c>
      <c r="W32" s="25" t="n">
        <f aca="false">1/(1+สมมติฐาน!$B$41)^(A32-1)</f>
        <v>0.634155917697621</v>
      </c>
      <c r="X32" s="26" t="n">
        <f aca="false">V32*W32</f>
        <v>279129.194899922</v>
      </c>
    </row>
    <row r="33" customFormat="false" ht="15" hidden="false" customHeight="true" outlineLevel="0" collapsed="false">
      <c r="A33" s="20" t="n">
        <v>25</v>
      </c>
      <c r="B33" s="20" t="n">
        <f aca="false">สมมติฐาน!$B$38+A33-1</f>
        <v>2593</v>
      </c>
      <c r="C33" s="20" t="n">
        <f aca="false">สมมติฐาน!$B$7+A33-1</f>
        <v>46</v>
      </c>
      <c r="D33" s="21" t="str">
        <f aca="false">IF(C33&lt;สมมติฐาน!$B$8,"รับราชการ","รับบำนาญ")</f>
        <v>รับราชการ</v>
      </c>
      <c r="E33" s="22" t="n">
        <f aca="false">(1+สมมติฐาน!$B$39)^(A33-1)</f>
        <v>1.60843724947523</v>
      </c>
      <c r="F33" s="14" t="n">
        <f aca="false">IF(D33="รับราชการ",สมมติฐาน!$B$13*(1+สมมติฐาน!$B$15)^(A33-1)*E33,0)</f>
        <v>41468.3568434077</v>
      </c>
      <c r="G33" s="14" t="n">
        <f aca="false">F33*12</f>
        <v>497620.282120893</v>
      </c>
      <c r="H33" s="14" t="n">
        <f aca="false">IF(D33="รับราชการ",IF(A33&gt;=สมมติฐาน!$B$19,สมมติฐาน!$B$18,IF(A33&gt;=สมมติฐาน!$B$17,สมมติฐาน!$B$16,0))*12*E33,0)</f>
        <v>0</v>
      </c>
      <c r="I33" s="14" t="n">
        <f aca="false">G33*สมมติฐาน!$B$21</f>
        <v>24881.0141060446</v>
      </c>
      <c r="J33" s="14" t="n">
        <f aca="false">IF(AND(D33="รับราชการ",A33&lt;=สมมติฐาน!$B$23),สมมติฐาน!$B$22*12*E33,0)</f>
        <v>0</v>
      </c>
      <c r="K33" s="14" t="n">
        <f aca="false">IF(AND(D33="รับราชการ",สมมติฐาน!$B$26&gt;0,A33&gt;=สมมติฐาน!$B$29,A33&lt;สมมติฐาน!$B$29+สมมติฐาน!$B$30),สมมติฐาน!$B$28*สมมติฐาน!$B$26*E33,0)</f>
        <v>0</v>
      </c>
      <c r="L33" s="14" t="n">
        <f aca="false">G33*สมมติฐาน!$B$20</f>
        <v>14928.6084636268</v>
      </c>
      <c r="M33" s="22" t="n">
        <f aca="false">(1+สมมติฐาน!$B$39)^(A33-1)*(1+สมมติฐาน!$B$40)^(A33-1)</f>
        <v>2.58707038549943</v>
      </c>
      <c r="N33" s="20" t="n">
        <f aca="false">A33-สมมติฐาน!$B$31</f>
        <v>15</v>
      </c>
      <c r="O33" s="20" t="n">
        <f aca="false">C33+สมมติฐาน!$B$32</f>
        <v>74</v>
      </c>
      <c r="P33" s="14" t="n">
        <f aca="false">(1+สมมติฐาน!$B$25)*สมมติฐาน!$B$37*LOOKUP(C33,สมมติฐาน!$A$59:$A$64,สมมติฐาน!$B$59:$B$64)*สมมติฐาน!$B$34*M33</f>
        <v>36218.985396992</v>
      </c>
      <c r="Q33" s="14" t="n">
        <f aca="false">IF(AND(สมมติฐาน!$B$26&gt;0,N33&gt;=0,N33&lt;=19),สมมติฐาน!$B$26*สมมติฐาน!$B$37*LOOKUP(MAX(N33,0),สมมติฐาน!$A$59:$A$64,สมมติฐาน!$B$59:$B$64)*สมมติฐาน!$B$34*M33,0)</f>
        <v>15522.4223129966</v>
      </c>
      <c r="R33" s="14" t="n">
        <f aca="false">IF(AND(สมมติฐาน!$B$27&gt;0,O33&lt;=สมมติฐาน!$B$33),สมมติฐาน!$B$27*สมมติฐาน!$B$37*LOOKUP(O33,สมมติฐาน!$A$59:$A$64,สมมติฐาน!$B$59:$B$64)*สมมติฐาน!$B$34*M33,0)</f>
        <v>116418.167347474</v>
      </c>
      <c r="S33" s="14" t="n">
        <f aca="false">IF(D33="รับราชการ",0,$AD$6*12*(1+สมมติฐาน!$B$42)^(A33-38-1))</f>
        <v>0</v>
      </c>
      <c r="T33" s="14" t="n">
        <f aca="false">IF(C33=สมมติฐาน!$B$8,$AD$7,0)+IF(C33=65,$AD$9,0)+IF(C33=70,$AD$11,0)+IF(A33=57,$AD$12+$AD$13,0)</f>
        <v>0</v>
      </c>
      <c r="U33" s="14" t="n">
        <f aca="false">G33+H33+I33+J33+K33+L33+P33+Q33+R33+S33+T33</f>
        <v>705589.479748027</v>
      </c>
      <c r="V33" s="14" t="n">
        <f aca="false">U33/E33</f>
        <v>438680.141222939</v>
      </c>
      <c r="W33" s="22" t="n">
        <f aca="false">1/(1+สมมติฐาน!$B$41)^(A33-1)</f>
        <v>0.621721487938845</v>
      </c>
      <c r="X33" s="14" t="n">
        <f aca="false">V33*W33</f>
        <v>272736.870130348</v>
      </c>
    </row>
    <row r="34" customFormat="false" ht="15" hidden="false" customHeight="true" outlineLevel="0" collapsed="false">
      <c r="A34" s="23" t="n">
        <v>26</v>
      </c>
      <c r="B34" s="23" t="n">
        <f aca="false">สมมติฐาน!$B$38+A34-1</f>
        <v>2594</v>
      </c>
      <c r="C34" s="23" t="n">
        <f aca="false">สมมติฐาน!$B$7+A34-1</f>
        <v>47</v>
      </c>
      <c r="D34" s="24" t="str">
        <f aca="false">IF(C34&lt;สมมติฐาน!$B$8,"รับราชการ","รับบำนาญ")</f>
        <v>รับราชการ</v>
      </c>
      <c r="E34" s="25" t="n">
        <f aca="false">(1+สมมติฐาน!$B$39)^(A34-1)</f>
        <v>1.64060599446473</v>
      </c>
      <c r="F34" s="26" t="n">
        <f aca="false">IF(D34="รับราชการ",สมมติฐาน!$B$13*(1+สมมติฐาน!$B$15)^(A34-1)*E34,0)</f>
        <v>43398.0344330682</v>
      </c>
      <c r="G34" s="26" t="n">
        <f aca="false">F34*12</f>
        <v>520776.413196818</v>
      </c>
      <c r="H34" s="26" t="n">
        <f aca="false">IF(D34="รับราชการ",IF(A34&gt;=สมมติฐาน!$B$19,สมมติฐาน!$B$18,IF(A34&gt;=สมมติฐาน!$B$17,สมมติฐาน!$B$16,0))*12*E34,0)</f>
        <v>0</v>
      </c>
      <c r="I34" s="26" t="n">
        <f aca="false">G34*สมมติฐาน!$B$21</f>
        <v>26038.8206598409</v>
      </c>
      <c r="J34" s="26" t="n">
        <f aca="false">IF(AND(D34="รับราชการ",A34&lt;=สมมติฐาน!$B$23),สมมติฐาน!$B$22*12*E34,0)</f>
        <v>0</v>
      </c>
      <c r="K34" s="26" t="n">
        <f aca="false">IF(AND(D34="รับราชการ",สมมติฐาน!$B$26&gt;0,A34&gt;=สมมติฐาน!$B$29,A34&lt;สมมติฐาน!$B$29+สมมติฐาน!$B$30),สมมติฐาน!$B$28*สมมติฐาน!$B$26*E34,0)</f>
        <v>0</v>
      </c>
      <c r="L34" s="26" t="n">
        <f aca="false">G34*สมมติฐาน!$B$20</f>
        <v>15623.2923959045</v>
      </c>
      <c r="M34" s="25" t="n">
        <f aca="false">(1+สมมติฐาน!$B$39)^(A34-1)*(1+สมมติฐาน!$B$40)^(A34-1)</f>
        <v>2.69158802907361</v>
      </c>
      <c r="N34" s="23" t="n">
        <f aca="false">A34-สมมติฐาน!$B$31</f>
        <v>16</v>
      </c>
      <c r="O34" s="23" t="n">
        <f aca="false">C34+สมมติฐาน!$B$32</f>
        <v>75</v>
      </c>
      <c r="P34" s="26" t="n">
        <f aca="false">(1+สมมติฐาน!$B$25)*สมมติฐาน!$B$37*LOOKUP(C34,สมมติฐาน!$A$59:$A$64,สมมติฐาน!$B$59:$B$64)*สมมติฐาน!$B$34*M34</f>
        <v>37682.2324070305</v>
      </c>
      <c r="Q34" s="26" t="n">
        <f aca="false">IF(AND(สมมติฐาน!$B$26&gt;0,N34&gt;=0,N34&lt;=19),สมมติฐาน!$B$26*สมมติฐาน!$B$37*LOOKUP(MAX(N34,0),สมมติฐาน!$A$59:$A$64,สมมติฐาน!$B$59:$B$64)*สมมติฐาน!$B$34*M34,0)</f>
        <v>16149.5281744416</v>
      </c>
      <c r="R34" s="26" t="n">
        <f aca="false">IF(AND(สมมติฐาน!$B$27&gt;0,O34&lt;=สมมติฐาน!$B$33),สมมติฐาน!$B$27*สมมติฐาน!$B$37*LOOKUP(O34,สมมติฐาน!$A$59:$A$64,สมมติฐาน!$B$59:$B$64)*สมมติฐาน!$B$34*M34,0)</f>
        <v>121121.461308312</v>
      </c>
      <c r="S34" s="26" t="n">
        <f aca="false">IF(D34="รับราชการ",0,$AD$6*12*(1+สมมติฐาน!$B$42)^(A34-38-1))</f>
        <v>0</v>
      </c>
      <c r="T34" s="26" t="n">
        <f aca="false">IF(C34=สมมติฐาน!$B$8,$AD$7,0)+IF(C34=65,$AD$9,0)+IF(C34=70,$AD$11,0)+IF(A34=57,$AD$12+$AD$13,0)</f>
        <v>0</v>
      </c>
      <c r="U34" s="26" t="n">
        <f aca="false">G34+H34+I34+J34+K34+L34+P34+Q34+R34+S34+T34</f>
        <v>737391.748142348</v>
      </c>
      <c r="V34" s="26" t="n">
        <f aca="false">U34/E34</f>
        <v>449463.034165575</v>
      </c>
      <c r="W34" s="25" t="n">
        <f aca="false">1/(1+สมมติฐาน!$B$41)^(A34-1)</f>
        <v>0.609530870528279</v>
      </c>
      <c r="X34" s="26" t="n">
        <f aca="false">V34*W34</f>
        <v>273961.594485224</v>
      </c>
    </row>
    <row r="35" customFormat="false" ht="15" hidden="false" customHeight="true" outlineLevel="0" collapsed="false">
      <c r="A35" s="20" t="n">
        <v>27</v>
      </c>
      <c r="B35" s="20" t="n">
        <f aca="false">สมมติฐาน!$B$38+A35-1</f>
        <v>2595</v>
      </c>
      <c r="C35" s="20" t="n">
        <f aca="false">สมมติฐาน!$B$7+A35-1</f>
        <v>48</v>
      </c>
      <c r="D35" s="21" t="str">
        <f aca="false">IF(C35&lt;สมมติฐาน!$B$8,"รับราชการ","รับบำนาญ")</f>
        <v>รับราชการ</v>
      </c>
      <c r="E35" s="22" t="n">
        <f aca="false">(1+สมมติฐาน!$B$39)^(A35-1)</f>
        <v>1.67341811435403</v>
      </c>
      <c r="F35" s="14" t="n">
        <f aca="false">IF(D35="รับราชการ",สมมติฐาน!$B$13*(1+สมมติฐาน!$B$15)^(A35-1)*E35,0)</f>
        <v>45417.5071311796</v>
      </c>
      <c r="G35" s="14" t="n">
        <f aca="false">F35*12</f>
        <v>545010.085574155</v>
      </c>
      <c r="H35" s="14" t="n">
        <f aca="false">IF(D35="รับราชการ",IF(A35&gt;=สมมติฐาน!$B$19,สมมติฐาน!$B$18,IF(A35&gt;=สมมติฐาน!$B$17,สมมติฐาน!$B$16,0))*12*E35,0)</f>
        <v>0</v>
      </c>
      <c r="I35" s="14" t="n">
        <f aca="false">G35*สมมติฐาน!$B$21</f>
        <v>27250.5042787078</v>
      </c>
      <c r="J35" s="14" t="n">
        <f aca="false">IF(AND(D35="รับราชการ",A35&lt;=สมมติฐาน!$B$23),สมมติฐาน!$B$22*12*E35,0)</f>
        <v>0</v>
      </c>
      <c r="K35" s="14" t="n">
        <f aca="false">IF(AND(D35="รับราชการ",สมมติฐาน!$B$26&gt;0,A35&gt;=สมมติฐาน!$B$29,A35&lt;สมมติฐาน!$B$29+สมมติฐาน!$B$30),สมมติฐาน!$B$28*สมมติฐาน!$B$26*E35,0)</f>
        <v>0</v>
      </c>
      <c r="L35" s="14" t="n">
        <f aca="false">G35*สมมติฐาน!$B$20</f>
        <v>16350.3025672247</v>
      </c>
      <c r="M35" s="22" t="n">
        <f aca="false">(1+สมมติฐาน!$B$39)^(A35-1)*(1+สมมติฐาน!$B$40)^(A35-1)</f>
        <v>2.80032818544818</v>
      </c>
      <c r="N35" s="20" t="n">
        <f aca="false">A35-สมมติฐาน!$B$31</f>
        <v>17</v>
      </c>
      <c r="O35" s="20" t="n">
        <f aca="false">C35+สมมติฐาน!$B$32</f>
        <v>76</v>
      </c>
      <c r="P35" s="14" t="n">
        <f aca="false">(1+สมมติฐาน!$B$25)*สมมติฐาน!$B$37*LOOKUP(C35,สมมติฐาน!$A$59:$A$64,สมมติฐาน!$B$59:$B$64)*สมมติฐาน!$B$34*M35</f>
        <v>39204.5945962745</v>
      </c>
      <c r="Q35" s="14" t="n">
        <f aca="false">IF(AND(สมมติฐาน!$B$26&gt;0,N35&gt;=0,N35&lt;=19),สมมติฐาน!$B$26*สมมติฐาน!$B$37*LOOKUP(MAX(N35,0),สมมติฐาน!$A$59:$A$64,สมมติฐาน!$B$59:$B$64)*สมมติฐาน!$B$34*M35,0)</f>
        <v>16801.9691126891</v>
      </c>
      <c r="R35" s="14" t="n">
        <f aca="false">IF(AND(สมมติฐาน!$B$27&gt;0,O35&lt;=สมมติฐาน!$B$33),สมมติฐาน!$B$27*สมมติฐาน!$B$37*LOOKUP(O35,สมมติฐาน!$A$59:$A$64,สมมติฐาน!$B$59:$B$64)*สมมติฐาน!$B$34*M35,0)</f>
        <v>126014.768345168</v>
      </c>
      <c r="S35" s="14" t="n">
        <f aca="false">IF(D35="รับราชการ",0,$AD$6*12*(1+สมมติฐาน!$B$42)^(A35-38-1))</f>
        <v>0</v>
      </c>
      <c r="T35" s="14" t="n">
        <f aca="false">IF(C35=สมมติฐาน!$B$8,$AD$7,0)+IF(C35=65,$AD$9,0)+IF(C35=70,$AD$11,0)+IF(A35=57,$AD$12+$AD$13,0)</f>
        <v>0</v>
      </c>
      <c r="U35" s="14" t="n">
        <f aca="false">G35+H35+I35+J35+K35+L35+P35+Q35+R35+S35+T35</f>
        <v>770632.22447422</v>
      </c>
      <c r="V35" s="14" t="n">
        <f aca="false">U35/E35</f>
        <v>460513.853569525</v>
      </c>
      <c r="W35" s="22" t="n">
        <f aca="false">1/(1+สมมติฐาน!$B$41)^(A35-1)</f>
        <v>0.597579284831646</v>
      </c>
      <c r="X35" s="14" t="n">
        <f aca="false">V35*W35</f>
        <v>275193.539271142</v>
      </c>
    </row>
    <row r="36" customFormat="false" ht="15" hidden="false" customHeight="true" outlineLevel="0" collapsed="false">
      <c r="A36" s="23" t="n">
        <v>28</v>
      </c>
      <c r="B36" s="23" t="n">
        <f aca="false">สมมติฐาน!$B$38+A36-1</f>
        <v>2596</v>
      </c>
      <c r="C36" s="23" t="n">
        <f aca="false">สมมติฐาน!$B$7+A36-1</f>
        <v>49</v>
      </c>
      <c r="D36" s="24" t="str">
        <f aca="false">IF(C36&lt;สมมติฐาน!$B$8,"รับราชการ","รับบำนาญ")</f>
        <v>รับราชการ</v>
      </c>
      <c r="E36" s="25" t="n">
        <f aca="false">(1+สมมติฐาน!$B$39)^(A36-1)</f>
        <v>1.70688647664111</v>
      </c>
      <c r="F36" s="26" t="n">
        <f aca="false">IF(D36="รับราชการ",สมมติฐาน!$B$13*(1+สมมติฐาน!$B$15)^(A36-1)*E36,0)</f>
        <v>47530.953439656</v>
      </c>
      <c r="G36" s="26" t="n">
        <f aca="false">F36*12</f>
        <v>570371.441275872</v>
      </c>
      <c r="H36" s="26" t="n">
        <f aca="false">IF(D36="รับราชการ",IF(A36&gt;=สมมติฐาน!$B$19,สมมติฐาน!$B$18,IF(A36&gt;=สมมติฐาน!$B$17,สมมติฐาน!$B$16,0))*12*E36,0)</f>
        <v>0</v>
      </c>
      <c r="I36" s="26" t="n">
        <f aca="false">G36*สมมติฐาน!$B$21</f>
        <v>28518.5720637936</v>
      </c>
      <c r="J36" s="26" t="n">
        <f aca="false">IF(AND(D36="รับราชการ",A36&lt;=สมมติฐาน!$B$23),สมมติฐาน!$B$22*12*E36,0)</f>
        <v>0</v>
      </c>
      <c r="K36" s="26" t="n">
        <f aca="false">IF(AND(D36="รับราชการ",สมมติฐาน!$B$26&gt;0,A36&gt;=สมมติฐาน!$B$29,A36&lt;สมมติฐาน!$B$29+สมมติฐาน!$B$30),สมมติฐาน!$B$28*สมมติฐาน!$B$26*E36,0)</f>
        <v>0</v>
      </c>
      <c r="L36" s="26" t="n">
        <f aca="false">G36*สมมติฐาน!$B$20</f>
        <v>17111.1432382762</v>
      </c>
      <c r="M36" s="25" t="n">
        <f aca="false">(1+สมมติฐาน!$B$39)^(A36-1)*(1+สมมติฐาน!$B$40)^(A36-1)</f>
        <v>2.91346144414029</v>
      </c>
      <c r="N36" s="23" t="n">
        <f aca="false">A36-สมมติฐาน!$B$31</f>
        <v>18</v>
      </c>
      <c r="O36" s="23" t="n">
        <f aca="false">C36+สมมติฐาน!$B$32</f>
        <v>77</v>
      </c>
      <c r="P36" s="26" t="n">
        <f aca="false">(1+สมมติฐาน!$B$25)*สมมติฐาน!$B$37*LOOKUP(C36,สมมติฐาน!$A$59:$A$64,สมมติฐาน!$B$59:$B$64)*สมมติฐาน!$B$34*M36</f>
        <v>40788.460217964</v>
      </c>
      <c r="Q36" s="26" t="n">
        <f aca="false">IF(AND(สมมติฐาน!$B$26&gt;0,N36&gt;=0,N36&lt;=19),สมมติฐาน!$B$26*สมมติฐาน!$B$37*LOOKUP(MAX(N36,0),สมมติฐาน!$A$59:$A$64,สมมติฐาน!$B$59:$B$64)*สมมติฐาน!$B$34*M36,0)</f>
        <v>17480.7686648417</v>
      </c>
      <c r="R36" s="26" t="n">
        <f aca="false">IF(AND(สมมติฐาน!$B$27&gt;0,O36&lt;=สมมติฐาน!$B$33),สมมติฐาน!$B$27*สมมติฐาน!$B$37*LOOKUP(O36,สมมติฐาน!$A$59:$A$64,สมมติฐาน!$B$59:$B$64)*สมมติฐาน!$B$34*M36,0)</f>
        <v>131105.764986313</v>
      </c>
      <c r="S36" s="26" t="n">
        <f aca="false">IF(D36="รับราชการ",0,$AD$6*12*(1+สมมติฐาน!$B$42)^(A36-38-1))</f>
        <v>0</v>
      </c>
      <c r="T36" s="26" t="n">
        <f aca="false">IF(C36=สมมติฐาน!$B$8,$AD$7,0)+IF(C36=65,$AD$9,0)+IF(C36=70,$AD$11,0)+IF(A36=57,$AD$12+$AD$13,0)</f>
        <v>0</v>
      </c>
      <c r="U36" s="26" t="n">
        <f aca="false">G36+H36+I36+J36+K36+L36+P36+Q36+R36+S36+T36</f>
        <v>805376.15044706</v>
      </c>
      <c r="V36" s="26" t="n">
        <f aca="false">U36/E36</f>
        <v>471839.317651587</v>
      </c>
      <c r="W36" s="25" t="n">
        <f aca="false">1/(1+สมมติฐาน!$B$41)^(A36-1)</f>
        <v>0.585862043952594</v>
      </c>
      <c r="X36" s="26" t="n">
        <f aca="false">V36*W36</f>
        <v>276432.747056556</v>
      </c>
    </row>
    <row r="37" customFormat="false" ht="15" hidden="false" customHeight="true" outlineLevel="0" collapsed="false">
      <c r="A37" s="20" t="n">
        <v>29</v>
      </c>
      <c r="B37" s="20" t="n">
        <f aca="false">สมมติฐาน!$B$38+A37-1</f>
        <v>2597</v>
      </c>
      <c r="C37" s="20" t="n">
        <f aca="false">สมมติฐาน!$B$7+A37-1</f>
        <v>50</v>
      </c>
      <c r="D37" s="21" t="str">
        <f aca="false">IF(C37&lt;สมมติฐาน!$B$8,"รับราชการ","รับบำนาญ")</f>
        <v>รับราชการ</v>
      </c>
      <c r="E37" s="22" t="n">
        <f aca="false">(1+สมมติฐาน!$B$39)^(A37-1)</f>
        <v>1.74102420617393</v>
      </c>
      <c r="F37" s="14" t="n">
        <f aca="false">IF(D37="รับราชการ",สมมติฐาน!$B$13*(1+สมมติฐาน!$B$15)^(A37-1)*E37,0)</f>
        <v>49742.7463017182</v>
      </c>
      <c r="G37" s="14" t="n">
        <f aca="false">F37*12</f>
        <v>596912.955620619</v>
      </c>
      <c r="H37" s="14" t="n">
        <f aca="false">IF(D37="รับราชการ",IF(A37&gt;=สมมติฐาน!$B$19,สมมติฐาน!$B$18,IF(A37&gt;=สมมติฐาน!$B$17,สมมติฐาน!$B$16,0))*12*E37,0)</f>
        <v>0</v>
      </c>
      <c r="I37" s="14" t="n">
        <f aca="false">G37*สมมติฐาน!$B$21</f>
        <v>29845.6477810309</v>
      </c>
      <c r="J37" s="14" t="n">
        <f aca="false">IF(AND(D37="รับราชการ",A37&lt;=สมมติฐาน!$B$23),สมมติฐาน!$B$22*12*E37,0)</f>
        <v>0</v>
      </c>
      <c r="K37" s="14" t="n">
        <f aca="false">IF(AND(D37="รับราชการ",สมมติฐาน!$B$26&gt;0,A37&gt;=สมมติฐาน!$B$29,A37&lt;สมมติฐาน!$B$29+สมมติฐาน!$B$30),สมมติฐาน!$B$28*สมมติฐาน!$B$26*E37,0)</f>
        <v>0</v>
      </c>
      <c r="L37" s="14" t="n">
        <f aca="false">G37*สมมติฐาน!$B$20</f>
        <v>17907.3886686186</v>
      </c>
      <c r="M37" s="22" t="n">
        <f aca="false">(1+สมมติฐาน!$B$39)^(A37-1)*(1+สมมติฐาน!$B$40)^(A37-1)</f>
        <v>3.03116528648356</v>
      </c>
      <c r="N37" s="20" t="n">
        <f aca="false">A37-สมมติฐาน!$B$31</f>
        <v>19</v>
      </c>
      <c r="O37" s="20" t="n">
        <f aca="false">C37+สมมติฐาน!$B$32</f>
        <v>78</v>
      </c>
      <c r="P37" s="14" t="n">
        <f aca="false">(1+สมมติฐาน!$B$25)*สมมติฐาน!$B$37*LOOKUP(C37,สมมติฐาน!$A$59:$A$64,สมมติฐาน!$B$59:$B$64)*สมมติฐาน!$B$34*M37</f>
        <v>42436.3140107698</v>
      </c>
      <c r="Q37" s="14" t="n">
        <f aca="false">IF(AND(สมมติฐาน!$B$26&gt;0,N37&gt;=0,N37&lt;=19),สมมติฐาน!$B$26*สมมติฐาน!$B$37*LOOKUP(MAX(N37,0),สมมติฐาน!$A$59:$A$64,สมมติฐาน!$B$59:$B$64)*สมมติฐาน!$B$34*M37,0)</f>
        <v>18186.9917189013</v>
      </c>
      <c r="R37" s="14" t="n">
        <f aca="false">IF(AND(สมมติฐาน!$B$27&gt;0,O37&lt;=สมมติฐาน!$B$33),สมมติฐาน!$B$27*สมมติฐาน!$B$37*LOOKUP(O37,สมมติฐาน!$A$59:$A$64,สมมติฐาน!$B$59:$B$64)*สมมติฐาน!$B$34*M37,0)</f>
        <v>136402.43789176</v>
      </c>
      <c r="S37" s="14" t="n">
        <f aca="false">IF(D37="รับราชการ",0,$AD$6*12*(1+สมมติฐาน!$B$42)^(A37-38-1))</f>
        <v>0</v>
      </c>
      <c r="T37" s="14" t="n">
        <f aca="false">IF(C37=สมมติฐาน!$B$8,$AD$7,0)+IF(C37=65,$AD$9,0)+IF(C37=70,$AD$11,0)+IF(A37=57,$AD$12+$AD$13,0)</f>
        <v>0</v>
      </c>
      <c r="U37" s="14" t="n">
        <f aca="false">G37+H37+I37+J37+K37+L37+P37+Q37+R37+S37+T37</f>
        <v>841691.7356917</v>
      </c>
      <c r="V37" s="14" t="n">
        <f aca="false">U37/E37</f>
        <v>483446.314363084</v>
      </c>
      <c r="W37" s="22" t="n">
        <f aca="false">1/(1+สมมติฐาน!$B$41)^(A37-1)</f>
        <v>0.5743745528947</v>
      </c>
      <c r="X37" s="14" t="n">
        <f aca="false">V37*W37</f>
        <v>277679.260660887</v>
      </c>
    </row>
    <row r="38" customFormat="false" ht="15" hidden="false" customHeight="true" outlineLevel="0" collapsed="false">
      <c r="A38" s="23" t="n">
        <v>30</v>
      </c>
      <c r="B38" s="23" t="n">
        <f aca="false">สมมติฐาน!$B$38+A38-1</f>
        <v>2598</v>
      </c>
      <c r="C38" s="23" t="n">
        <f aca="false">สมมติฐาน!$B$7+A38-1</f>
        <v>51</v>
      </c>
      <c r="D38" s="24" t="str">
        <f aca="false">IF(C38&lt;สมมติฐาน!$B$8,"รับราชการ","รับบำนาญ")</f>
        <v>รับราชการ</v>
      </c>
      <c r="E38" s="25" t="n">
        <f aca="false">(1+สมมติฐาน!$B$39)^(A38-1)</f>
        <v>1.77584469029741</v>
      </c>
      <c r="F38" s="26" t="n">
        <f aca="false">IF(D38="รับราชการ",สมมติฐาน!$B$13*(1+สมมติฐาน!$B$15)^(A38-1)*E38,0)</f>
        <v>52057.4621499747</v>
      </c>
      <c r="G38" s="26" t="n">
        <f aca="false">F38*12</f>
        <v>624689.545799697</v>
      </c>
      <c r="H38" s="26" t="n">
        <f aca="false">IF(D38="รับราชการ",IF(A38&gt;=สมมติฐาน!$B$19,สมมติฐาน!$B$18,IF(A38&gt;=สมมติฐาน!$B$17,สมมติฐาน!$B$16,0))*12*E38,0)</f>
        <v>0</v>
      </c>
      <c r="I38" s="26" t="n">
        <f aca="false">G38*สมมติฐาน!$B$21</f>
        <v>31234.4772899848</v>
      </c>
      <c r="J38" s="26" t="n">
        <f aca="false">IF(AND(D38="รับราชการ",A38&lt;=สมมติฐาน!$B$23),สมมติฐาน!$B$22*12*E38,0)</f>
        <v>0</v>
      </c>
      <c r="K38" s="26" t="n">
        <f aca="false">IF(AND(D38="รับราชการ",สมมติฐาน!$B$26&gt;0,A38&gt;=สมมติฐาน!$B$29,A38&lt;สมมติฐาน!$B$29+สมมติฐาน!$B$30),สมมติฐาน!$B$28*สมมติฐาน!$B$26*E38,0)</f>
        <v>0</v>
      </c>
      <c r="L38" s="26" t="n">
        <f aca="false">G38*สมมติฐาน!$B$20</f>
        <v>18740.6863739909</v>
      </c>
      <c r="M38" s="25" t="n">
        <f aca="false">(1+สมมติฐาน!$B$39)^(A38-1)*(1+สมมติฐาน!$B$40)^(A38-1)</f>
        <v>3.15362436405749</v>
      </c>
      <c r="N38" s="23" t="n">
        <f aca="false">A38-สมมติฐาน!$B$31</f>
        <v>20</v>
      </c>
      <c r="O38" s="23" t="n">
        <f aca="false">C38+สมมติฐาน!$B$32</f>
        <v>79</v>
      </c>
      <c r="P38" s="26" t="n">
        <f aca="false">(1+สมมติฐาน!$B$25)*สมมติฐาน!$B$37*LOOKUP(C38,สมมติฐาน!$A$59:$A$64,สมมติฐาน!$B$59:$B$64)*สมมติฐาน!$B$34*M38</f>
        <v>44150.7410968049</v>
      </c>
      <c r="Q38" s="26" t="n">
        <f aca="false">IF(AND(สมมติฐาน!$B$26&gt;0,N38&gt;=0,N38&lt;=19),สมมติฐาน!$B$26*สมมติฐาน!$B$37*LOOKUP(MAX(N38,0),สมมติฐาน!$A$59:$A$64,สมมติฐาน!$B$59:$B$64)*สมมติฐาน!$B$34*M38,0)</f>
        <v>0</v>
      </c>
      <c r="R38" s="26" t="n">
        <f aca="false">IF(AND(สมมติฐาน!$B$27&gt;0,O38&lt;=สมมติฐาน!$B$33),สมมติฐาน!$B$27*สมมติฐาน!$B$37*LOOKUP(O38,สมมติฐาน!$A$59:$A$64,สมมติฐาน!$B$59:$B$64)*สมมติฐาน!$B$34*M38,0)</f>
        <v>141913.096382587</v>
      </c>
      <c r="S38" s="26" t="n">
        <f aca="false">IF(D38="รับราชการ",0,$AD$6*12*(1+สมมติฐาน!$B$42)^(A38-38-1))</f>
        <v>0</v>
      </c>
      <c r="T38" s="26" t="n">
        <f aca="false">IF(C38=สมมติฐาน!$B$8,$AD$7,0)+IF(C38=65,$AD$9,0)+IF(C38=70,$AD$11,0)+IF(A38=57,$AD$12+$AD$13,0)</f>
        <v>0</v>
      </c>
      <c r="U38" s="26" t="n">
        <f aca="false">G38+H38+I38+J38+K38+L38+P38+Q38+R38+S38+T38</f>
        <v>860728.546943064</v>
      </c>
      <c r="V38" s="26" t="n">
        <f aca="false">U38/E38</f>
        <v>484686.83756287</v>
      </c>
      <c r="W38" s="25" t="n">
        <f aca="false">1/(1+สมมติฐาน!$B$41)^(A38-1)</f>
        <v>0.56311230675951</v>
      </c>
      <c r="X38" s="26" t="n">
        <f aca="false">V38*W38</f>
        <v>272933.123156</v>
      </c>
    </row>
    <row r="39" customFormat="false" ht="15" hidden="false" customHeight="true" outlineLevel="0" collapsed="false">
      <c r="A39" s="20" t="n">
        <v>31</v>
      </c>
      <c r="B39" s="20" t="n">
        <f aca="false">สมมติฐาน!$B$38+A39-1</f>
        <v>2599</v>
      </c>
      <c r="C39" s="20" t="n">
        <f aca="false">สมมติฐาน!$B$7+A39-1</f>
        <v>52</v>
      </c>
      <c r="D39" s="21" t="str">
        <f aca="false">IF(C39&lt;สมมติฐาน!$B$8,"รับราชการ","รับบำนาญ")</f>
        <v>รับราชการ</v>
      </c>
      <c r="E39" s="22" t="n">
        <f aca="false">(1+สมมติฐาน!$B$39)^(A39-1)</f>
        <v>1.81136158410335</v>
      </c>
      <c r="F39" s="14" t="n">
        <f aca="false">IF(D39="รับราชการ",สมมติฐาน!$B$13*(1+สมมติฐาน!$B$15)^(A39-1)*E39,0)</f>
        <v>54479.8903755429</v>
      </c>
      <c r="G39" s="14" t="n">
        <f aca="false">F39*12</f>
        <v>653758.684506515</v>
      </c>
      <c r="H39" s="14" t="n">
        <f aca="false">IF(D39="รับราชการ",IF(A39&gt;=สมมติฐาน!$B$19,สมมติฐาน!$B$18,IF(A39&gt;=สมมติฐาน!$B$17,สมมติฐาน!$B$16,0))*12*E39,0)</f>
        <v>0</v>
      </c>
      <c r="I39" s="14" t="n">
        <f aca="false">G39*สมมติฐาน!$B$21</f>
        <v>32687.9342253257</v>
      </c>
      <c r="J39" s="14" t="n">
        <f aca="false">IF(AND(D39="รับราชการ",A39&lt;=สมมติฐาน!$B$23),สมมติฐาน!$B$22*12*E39,0)</f>
        <v>0</v>
      </c>
      <c r="K39" s="14" t="n">
        <f aca="false">IF(AND(D39="รับราชการ",สมมติฐาน!$B$26&gt;0,A39&gt;=สมมติฐาน!$B$29,A39&lt;สมมติฐาน!$B$29+สมมติฐาน!$B$30),สมมติฐาน!$B$28*สมมติฐาน!$B$26*E39,0)</f>
        <v>0</v>
      </c>
      <c r="L39" s="14" t="n">
        <f aca="false">G39*สมมติฐาน!$B$20</f>
        <v>19612.7605351954</v>
      </c>
      <c r="M39" s="22" t="n">
        <f aca="false">(1+สมมติฐาน!$B$39)^(A39-1)*(1+สมมติฐาน!$B$40)^(A39-1)</f>
        <v>3.28103078836542</v>
      </c>
      <c r="N39" s="20" t="n">
        <f aca="false">A39-สมมติฐาน!$B$31</f>
        <v>21</v>
      </c>
      <c r="O39" s="20" t="n">
        <f aca="false">C39+สมมติฐาน!$B$32</f>
        <v>80</v>
      </c>
      <c r="P39" s="14" t="n">
        <f aca="false">(1+สมมติฐาน!$B$25)*สมมติฐาน!$B$37*LOOKUP(C39,สมมติฐาน!$A$59:$A$64,สมมติฐาน!$B$59:$B$64)*สมมติฐาน!$B$34*M39</f>
        <v>45934.4310371158</v>
      </c>
      <c r="Q39" s="14" t="n">
        <f aca="false">IF(AND(สมมติฐาน!$B$26&gt;0,N39&gt;=0,N39&lt;=19),สมมติฐาน!$B$26*สมมติฐาน!$B$37*LOOKUP(MAX(N39,0),สมมติฐาน!$A$59:$A$64,สมมติฐาน!$B$59:$B$64)*สมมติฐาน!$B$34*M39,0)</f>
        <v>0</v>
      </c>
      <c r="R39" s="14" t="n">
        <f aca="false">IF(AND(สมมติฐาน!$B$27&gt;0,O39&lt;=สมมติฐาน!$B$33),สมมติฐาน!$B$27*สมมติฐาน!$B$37*LOOKUP(O39,สมมติฐาน!$A$59:$A$64,สมมติฐาน!$B$59:$B$64)*สมมติฐาน!$B$34*M39,0)</f>
        <v>196861.847301925</v>
      </c>
      <c r="S39" s="14" t="n">
        <f aca="false">IF(D39="รับราชการ",0,$AD$6*12*(1+สมมติฐาน!$B$42)^(A39-38-1))</f>
        <v>0</v>
      </c>
      <c r="T39" s="14" t="n">
        <f aca="false">IF(C39=สมมติฐาน!$B$8,$AD$7,0)+IF(C39=65,$AD$9,0)+IF(C39=70,$AD$11,0)+IF(A39=57,$AD$12+$AD$13,0)</f>
        <v>0</v>
      </c>
      <c r="U39" s="14" t="n">
        <f aca="false">G39+H39+I39+J39+K39+L39+P39+Q39+R39+S39+T39</f>
        <v>948855.657606077</v>
      </c>
      <c r="V39" s="14" t="n">
        <f aca="false">U39/E39</f>
        <v>523835.586408205</v>
      </c>
      <c r="W39" s="22" t="n">
        <f aca="false">1/(1+สมมติฐาน!$B$41)^(A39-1)</f>
        <v>0.552070888979912</v>
      </c>
      <c r="X39" s="14" t="n">
        <f aca="false">V39*W39</f>
        <v>289194.377867691</v>
      </c>
    </row>
    <row r="40" customFormat="false" ht="15" hidden="false" customHeight="true" outlineLevel="0" collapsed="false">
      <c r="A40" s="23" t="n">
        <v>32</v>
      </c>
      <c r="B40" s="23" t="n">
        <f aca="false">สมมติฐาน!$B$38+A40-1</f>
        <v>2600</v>
      </c>
      <c r="C40" s="23" t="n">
        <f aca="false">สมมติฐาน!$B$7+A40-1</f>
        <v>53</v>
      </c>
      <c r="D40" s="24" t="str">
        <f aca="false">IF(C40&lt;สมมติฐาน!$B$8,"รับราชการ","รับบำนาญ")</f>
        <v>รับราชการ</v>
      </c>
      <c r="E40" s="25" t="n">
        <f aca="false">(1+สมมติฐาน!$B$39)^(A40-1)</f>
        <v>1.84758881578542</v>
      </c>
      <c r="F40" s="26" t="n">
        <f aca="false">IF(D40="รับราชการ",สมมติฐาน!$B$13*(1+สมมติฐาน!$B$15)^(A40-1)*E40,0)</f>
        <v>57015.0432378043</v>
      </c>
      <c r="G40" s="26" t="n">
        <f aca="false">F40*12</f>
        <v>684180.518853652</v>
      </c>
      <c r="H40" s="26" t="n">
        <f aca="false">IF(D40="รับราชการ",IF(A40&gt;=สมมติฐาน!$B$19,สมมติฐาน!$B$18,IF(A40&gt;=สมมติฐาน!$B$17,สมมติฐาน!$B$16,0))*12*E40,0)</f>
        <v>0</v>
      </c>
      <c r="I40" s="26" t="n">
        <f aca="false">G40*สมมติฐาน!$B$21</f>
        <v>34209.0259426826</v>
      </c>
      <c r="J40" s="26" t="n">
        <f aca="false">IF(AND(D40="รับราชการ",A40&lt;=สมมติฐาน!$B$23),สมมติฐาน!$B$22*12*E40,0)</f>
        <v>0</v>
      </c>
      <c r="K40" s="26" t="n">
        <f aca="false">IF(AND(D40="รับราชการ",สมมติฐาน!$B$26&gt;0,A40&gt;=สมมติฐาน!$B$29,A40&lt;สมมติฐาน!$B$29+สมมติฐาน!$B$30),สมมติฐาน!$B$28*สมมติฐาน!$B$26*E40,0)</f>
        <v>0</v>
      </c>
      <c r="L40" s="26" t="n">
        <f aca="false">G40*สมมติฐาน!$B$20</f>
        <v>20525.4155656096</v>
      </c>
      <c r="M40" s="25" t="n">
        <f aca="false">(1+สมมติฐาน!$B$39)^(A40-1)*(1+สมมติฐาน!$B$40)^(A40-1)</f>
        <v>3.41358443221538</v>
      </c>
      <c r="N40" s="23" t="n">
        <f aca="false">A40-สมมติฐาน!$B$31</f>
        <v>22</v>
      </c>
      <c r="O40" s="23" t="n">
        <f aca="false">C40+สมมติฐาน!$B$32</f>
        <v>81</v>
      </c>
      <c r="P40" s="26" t="n">
        <f aca="false">(1+สมมติฐาน!$B$25)*สมมติฐาน!$B$37*LOOKUP(C40,สมมติฐาน!$A$59:$A$64,สมมติฐาน!$B$59:$B$64)*สมมติฐาน!$B$34*M40</f>
        <v>47790.1820510153</v>
      </c>
      <c r="Q40" s="26" t="n">
        <f aca="false">IF(AND(สมมติฐาน!$B$26&gt;0,N40&gt;=0,N40&lt;=19),สมมติฐาน!$B$26*สมมติฐาน!$B$37*LOOKUP(MAX(N40,0),สมมติฐาน!$A$59:$A$64,สมมติฐาน!$B$59:$B$64)*สมมติฐาน!$B$34*M40,0)</f>
        <v>0</v>
      </c>
      <c r="R40" s="26" t="n">
        <f aca="false">IF(AND(สมมติฐาน!$B$27&gt;0,O40&lt;=สมมติฐาน!$B$33),สมมติฐาน!$B$27*สมมติฐาน!$B$37*LOOKUP(O40,สมมติฐาน!$A$59:$A$64,สมมติฐาน!$B$59:$B$64)*สมมติฐาน!$B$34*M40,0)</f>
        <v>0</v>
      </c>
      <c r="S40" s="26" t="n">
        <f aca="false">IF(D40="รับราชการ",0,$AD$6*12*(1+สมมติฐาน!$B$42)^(A40-38-1))</f>
        <v>0</v>
      </c>
      <c r="T40" s="26" t="n">
        <f aca="false">IF(C40=สมมติฐาน!$B$8,$AD$7,0)+IF(C40=65,$AD$9,0)+IF(C40=70,$AD$11,0)+IF(A40=57,$AD$12+$AD$13,0)</f>
        <v>0</v>
      </c>
      <c r="U40" s="26" t="n">
        <f aca="false">G40+H40+I40+J40+K40+L40+P40+Q40+R40+S40+T40</f>
        <v>786705.14241296</v>
      </c>
      <c r="V40" s="26" t="n">
        <f aca="false">U40/E40</f>
        <v>425800.987585285</v>
      </c>
      <c r="W40" s="25" t="n">
        <f aca="false">1/(1+สมมติฐาน!$B$41)^(A40-1)</f>
        <v>0.541245969588149</v>
      </c>
      <c r="X40" s="26" t="n">
        <f aca="false">V40*W40</f>
        <v>230463.068377189</v>
      </c>
    </row>
    <row r="41" customFormat="false" ht="15" hidden="false" customHeight="true" outlineLevel="0" collapsed="false">
      <c r="A41" s="20" t="n">
        <v>33</v>
      </c>
      <c r="B41" s="20" t="n">
        <f aca="false">สมมติฐาน!$B$38+A41-1</f>
        <v>2601</v>
      </c>
      <c r="C41" s="20" t="n">
        <f aca="false">สมมติฐาน!$B$7+A41-1</f>
        <v>54</v>
      </c>
      <c r="D41" s="21" t="str">
        <f aca="false">IF(C41&lt;สมมติฐาน!$B$8,"รับราชการ","รับบำนาญ")</f>
        <v>รับราชการ</v>
      </c>
      <c r="E41" s="22" t="n">
        <f aca="false">(1+สมมติฐาน!$B$39)^(A41-1)</f>
        <v>1.88454059210113</v>
      </c>
      <c r="F41" s="14" t="n">
        <f aca="false">IF(D41="รับราชการ",สมมติฐาน!$B$13*(1+สมมติฐาน!$B$15)^(A41-1)*E41,0)</f>
        <v>59668.1662352979</v>
      </c>
      <c r="G41" s="14" t="n">
        <f aca="false">F41*12</f>
        <v>716017.994823574</v>
      </c>
      <c r="H41" s="14" t="n">
        <f aca="false">IF(D41="รับราชการ",IF(A41&gt;=สมมติฐาน!$B$19,สมมติฐาน!$B$18,IF(A41&gt;=สมมติฐาน!$B$17,สมมติฐาน!$B$16,0))*12*E41,0)</f>
        <v>0</v>
      </c>
      <c r="I41" s="14" t="n">
        <f aca="false">G41*สมมติฐาน!$B$21</f>
        <v>35800.8997411787</v>
      </c>
      <c r="J41" s="14" t="n">
        <f aca="false">IF(AND(D41="รับราชการ",A41&lt;=สมมติฐาน!$B$23),สมมติฐาน!$B$22*12*E41,0)</f>
        <v>0</v>
      </c>
      <c r="K41" s="14" t="n">
        <f aca="false">IF(AND(D41="รับราชการ",สมมติฐาน!$B$26&gt;0,A41&gt;=สมมติฐาน!$B$29,A41&lt;สมมติฐาน!$B$29+สมมติฐาน!$B$30),สมมติฐาน!$B$28*สมมติฐาน!$B$26*E41,0)</f>
        <v>0</v>
      </c>
      <c r="L41" s="14" t="n">
        <f aca="false">G41*สมมติฐาน!$B$20</f>
        <v>21480.5398447072</v>
      </c>
      <c r="M41" s="22" t="n">
        <f aca="false">(1+สมมติฐาน!$B$39)^(A41-1)*(1+สมมติฐาน!$B$40)^(A41-1)</f>
        <v>3.55149324327688</v>
      </c>
      <c r="N41" s="20" t="n">
        <f aca="false">A41-สมมติฐาน!$B$31</f>
        <v>23</v>
      </c>
      <c r="O41" s="20" t="n">
        <f aca="false">C41+สมมติฐาน!$B$32</f>
        <v>82</v>
      </c>
      <c r="P41" s="14" t="n">
        <f aca="false">(1+สมมติฐาน!$B$25)*สมมติฐาน!$B$37*LOOKUP(C41,สมมติฐาน!$A$59:$A$64,สมมติฐาน!$B$59:$B$64)*สมมติฐาน!$B$34*M41</f>
        <v>49720.9054058763</v>
      </c>
      <c r="Q41" s="14" t="n">
        <f aca="false">IF(AND(สมมติฐาน!$B$26&gt;0,N41&gt;=0,N41&lt;=19),สมมติฐาน!$B$26*สมมติฐาน!$B$37*LOOKUP(MAX(N41,0),สมมติฐาน!$A$59:$A$64,สมมติฐาน!$B$59:$B$64)*สมมติฐาน!$B$34*M41,0)</f>
        <v>0</v>
      </c>
      <c r="R41" s="14" t="n">
        <f aca="false">IF(AND(สมมติฐาน!$B$27&gt;0,O41&lt;=สมมติฐาน!$B$33),สมมติฐาน!$B$27*สมมติฐาน!$B$37*LOOKUP(O41,สมมติฐาน!$A$59:$A$64,สมมติฐาน!$B$59:$B$64)*สมมติฐาน!$B$34*M41,0)</f>
        <v>0</v>
      </c>
      <c r="S41" s="14" t="n">
        <f aca="false">IF(D41="รับราชการ",0,$AD$6*12*(1+สมมติฐาน!$B$42)^(A41-38-1))</f>
        <v>0</v>
      </c>
      <c r="T41" s="14" t="n">
        <f aca="false">IF(C41=สมมติฐาน!$B$8,$AD$7,0)+IF(C41=65,$AD$9,0)+IF(C41=70,$AD$11,0)+IF(A41=57,$AD$12+$AD$13,0)</f>
        <v>0</v>
      </c>
      <c r="U41" s="14" t="n">
        <f aca="false">G41+H41+I41+J41+K41+L41+P41+Q41+R41+S41+T41</f>
        <v>823020.339815337</v>
      </c>
      <c r="V41" s="14" t="n">
        <f aca="false">U41/E41</f>
        <v>436722.001778548</v>
      </c>
      <c r="W41" s="22" t="n">
        <f aca="false">1/(1+สมมติฐาน!$B$41)^(A41-1)</f>
        <v>0.530633303517793</v>
      </c>
      <c r="X41" s="14" t="n">
        <f aca="false">V41*W41</f>
        <v>231739.238522655</v>
      </c>
    </row>
    <row r="42" customFormat="false" ht="15" hidden="false" customHeight="true" outlineLevel="0" collapsed="false">
      <c r="A42" s="23" t="n">
        <v>34</v>
      </c>
      <c r="B42" s="23" t="n">
        <f aca="false">สมมติฐาน!$B$38+A42-1</f>
        <v>2602</v>
      </c>
      <c r="C42" s="23" t="n">
        <f aca="false">สมมติฐาน!$B$7+A42-1</f>
        <v>55</v>
      </c>
      <c r="D42" s="24" t="str">
        <f aca="false">IF(C42&lt;สมมติฐาน!$B$8,"รับราชการ","รับบำนาญ")</f>
        <v>รับราชการ</v>
      </c>
      <c r="E42" s="25" t="n">
        <f aca="false">(1+สมมติฐาน!$B$39)^(A42-1)</f>
        <v>1.92223140394315</v>
      </c>
      <c r="F42" s="26" t="n">
        <f aca="false">IF(D42="รับราชการ",สมมติฐาน!$B$13*(1+สมมติฐาน!$B$15)^(A42-1)*E42,0)</f>
        <v>62444.748959209</v>
      </c>
      <c r="G42" s="26" t="n">
        <f aca="false">F42*12</f>
        <v>749336.987510508</v>
      </c>
      <c r="H42" s="26" t="n">
        <f aca="false">IF(D42="รับราชการ",IF(A42&gt;=สมมติฐาน!$B$19,สมมติฐาน!$B$18,IF(A42&gt;=สมมติฐาน!$B$17,สมมติฐาน!$B$16,0))*12*E42,0)</f>
        <v>0</v>
      </c>
      <c r="I42" s="26" t="n">
        <f aca="false">G42*สมมติฐาน!$B$21</f>
        <v>37466.8493755254</v>
      </c>
      <c r="J42" s="26" t="n">
        <f aca="false">IF(AND(D42="รับราชการ",A42&lt;=สมมติฐาน!$B$23),สมมติฐาน!$B$22*12*E42,0)</f>
        <v>0</v>
      </c>
      <c r="K42" s="26" t="n">
        <f aca="false">IF(AND(D42="รับราชการ",สมมติฐาน!$B$26&gt;0,A42&gt;=สมมติฐาน!$B$29,A42&lt;สมมติฐาน!$B$29+สมมติฐาน!$B$30),สมมติฐาน!$B$28*สมมติฐาน!$B$26*E42,0)</f>
        <v>0</v>
      </c>
      <c r="L42" s="26" t="n">
        <f aca="false">G42*สมมติฐาน!$B$20</f>
        <v>22480.1096253152</v>
      </c>
      <c r="M42" s="25" t="n">
        <f aca="false">(1+สมมติฐาน!$B$39)^(A42-1)*(1+สมมติฐาน!$B$40)^(A42-1)</f>
        <v>3.69497357030527</v>
      </c>
      <c r="N42" s="23" t="n">
        <f aca="false">A42-สมมติฐาน!$B$31</f>
        <v>24</v>
      </c>
      <c r="O42" s="23" t="n">
        <f aca="false">C42+สมมติฐาน!$B$32</f>
        <v>83</v>
      </c>
      <c r="P42" s="26" t="n">
        <f aca="false">(1+สมมติฐาน!$B$25)*สมมติฐาน!$B$37*LOOKUP(C42,สมมติฐาน!$A$59:$A$64,สมมติฐาน!$B$59:$B$64)*สมมติฐาน!$B$34*M42</f>
        <v>51729.6299842737</v>
      </c>
      <c r="Q42" s="26" t="n">
        <f aca="false">IF(AND(สมมติฐาน!$B$26&gt;0,N42&gt;=0,N42&lt;=19),สมมติฐาน!$B$26*สมมติฐาน!$B$37*LOOKUP(MAX(N42,0),สมมติฐาน!$A$59:$A$64,สมมติฐาน!$B$59:$B$64)*สมมติฐาน!$B$34*M42,0)</f>
        <v>0</v>
      </c>
      <c r="R42" s="26" t="n">
        <f aca="false">IF(AND(สมมติฐาน!$B$27&gt;0,O42&lt;=สมมติฐาน!$B$33),สมมติฐาน!$B$27*สมมติฐาน!$B$37*LOOKUP(O42,สมมติฐาน!$A$59:$A$64,สมมติฐาน!$B$59:$B$64)*สมมติฐาน!$B$34*M42,0)</f>
        <v>0</v>
      </c>
      <c r="S42" s="26" t="n">
        <f aca="false">IF(D42="รับราชการ",0,$AD$6*12*(1+สมมติฐาน!$B$42)^(A42-38-1))</f>
        <v>0</v>
      </c>
      <c r="T42" s="26" t="n">
        <f aca="false">IF(C42=สมมติฐาน!$B$8,$AD$7,0)+IF(C42=65,$AD$9,0)+IF(C42=70,$AD$11,0)+IF(A42=57,$AD$12+$AD$13,0)</f>
        <v>0</v>
      </c>
      <c r="U42" s="26" t="n">
        <f aca="false">G42+H42+I42+J42+K42+L42+P42+Q42+R42+S42+T42</f>
        <v>861013.576495623</v>
      </c>
      <c r="V42" s="26" t="n">
        <f aca="false">U42/E42</f>
        <v>447923.998499551</v>
      </c>
      <c r="W42" s="25" t="n">
        <f aca="false">1/(1+สมมติฐาน!$B$41)^(A42-1)</f>
        <v>0.520228728939013</v>
      </c>
      <c r="X42" s="26" t="n">
        <f aca="false">V42*W42</f>
        <v>233022.932400702</v>
      </c>
    </row>
    <row r="43" customFormat="false" ht="15" hidden="false" customHeight="true" outlineLevel="0" collapsed="false">
      <c r="A43" s="20" t="n">
        <v>35</v>
      </c>
      <c r="B43" s="20" t="n">
        <f aca="false">สมมติฐาน!$B$38+A43-1</f>
        <v>2603</v>
      </c>
      <c r="C43" s="20" t="n">
        <f aca="false">สมมติฐาน!$B$7+A43-1</f>
        <v>56</v>
      </c>
      <c r="D43" s="21" t="str">
        <f aca="false">IF(C43&lt;สมมติฐาน!$B$8,"รับราชการ","รับบำนาญ")</f>
        <v>รับราชการ</v>
      </c>
      <c r="E43" s="22" t="n">
        <f aca="false">(1+สมมติฐาน!$B$39)^(A43-1)</f>
        <v>1.96067603202202</v>
      </c>
      <c r="F43" s="14" t="n">
        <f aca="false">IF(D43="รับราชการ",สมมติฐาน!$B$13*(1+สมมติฐาน!$B$15)^(A43-1)*E43,0)</f>
        <v>65350.536451913</v>
      </c>
      <c r="G43" s="14" t="n">
        <f aca="false">F43*12</f>
        <v>784206.437422956</v>
      </c>
      <c r="H43" s="14" t="n">
        <f aca="false">IF(D43="รับราชการ",IF(A43&gt;=สมมติฐาน!$B$19,สมมติฐาน!$B$18,IF(A43&gt;=สมมติฐาน!$B$17,สมมติฐาน!$B$16,0))*12*E43,0)</f>
        <v>0</v>
      </c>
      <c r="I43" s="14" t="n">
        <f aca="false">G43*สมมติฐาน!$B$21</f>
        <v>39210.3218711478</v>
      </c>
      <c r="J43" s="14" t="n">
        <f aca="false">IF(AND(D43="รับราชการ",A43&lt;=สมมติฐาน!$B$23),สมมติฐาน!$B$22*12*E43,0)</f>
        <v>0</v>
      </c>
      <c r="K43" s="14" t="n">
        <f aca="false">IF(AND(D43="รับราชการ",สมมติฐาน!$B$26&gt;0,A43&gt;=สมมติฐาน!$B$29,A43&lt;สมมติฐาน!$B$29+สมมติฐาน!$B$30),สมมติฐาน!$B$28*สมมติฐาน!$B$26*E43,0)</f>
        <v>0</v>
      </c>
      <c r="L43" s="14" t="n">
        <f aca="false">G43*สมมติฐาน!$B$20</f>
        <v>23526.1931226887</v>
      </c>
      <c r="M43" s="22" t="n">
        <f aca="false">(1+สมมติฐาน!$B$39)^(A43-1)*(1+สมมติฐาน!$B$40)^(A43-1)</f>
        <v>3.8442505025456</v>
      </c>
      <c r="N43" s="20" t="n">
        <f aca="false">A43-สมมติฐาน!$B$31</f>
        <v>25</v>
      </c>
      <c r="O43" s="20" t="n">
        <f aca="false">C43+สมมติฐาน!$B$32</f>
        <v>84</v>
      </c>
      <c r="P43" s="14" t="n">
        <f aca="false">(1+สมมติฐาน!$B$25)*สมมติฐาน!$B$37*LOOKUP(C43,สมมติฐาน!$A$59:$A$64,สมมติฐาน!$B$59:$B$64)*สมมติฐาน!$B$34*M43</f>
        <v>53819.5070356384</v>
      </c>
      <c r="Q43" s="14" t="n">
        <f aca="false">IF(AND(สมมติฐาน!$B$26&gt;0,N43&gt;=0,N43&lt;=19),สมมติฐาน!$B$26*สมมติฐาน!$B$37*LOOKUP(MAX(N43,0),สมมติฐาน!$A$59:$A$64,สมมติฐาน!$B$59:$B$64)*สมมติฐาน!$B$34*M43,0)</f>
        <v>0</v>
      </c>
      <c r="R43" s="14" t="n">
        <f aca="false">IF(AND(สมมติฐาน!$B$27&gt;0,O43&lt;=สมมติฐาน!$B$33),สมมติฐาน!$B$27*สมมติฐาน!$B$37*LOOKUP(O43,สมมติฐาน!$A$59:$A$64,สมมติฐาน!$B$59:$B$64)*สมมติฐาน!$B$34*M43,0)</f>
        <v>0</v>
      </c>
      <c r="S43" s="14" t="n">
        <f aca="false">IF(D43="รับราชการ",0,$AD$6*12*(1+สมมติฐาน!$B$42)^(A43-38-1))</f>
        <v>0</v>
      </c>
      <c r="T43" s="14" t="n">
        <f aca="false">IF(C43=สมมติฐาน!$B$8,$AD$7,0)+IF(C43=65,$AD$9,0)+IF(C43=70,$AD$11,0)+IF(A43=57,$AD$12+$AD$13,0)</f>
        <v>0</v>
      </c>
      <c r="U43" s="14" t="n">
        <f aca="false">G43+H43+I43+J43+K43+L43+P43+Q43+R43+S43+T43</f>
        <v>900762.459452431</v>
      </c>
      <c r="V43" s="14" t="n">
        <f aca="false">U43/E43</f>
        <v>459414.224859722</v>
      </c>
      <c r="W43" s="22" t="n">
        <f aca="false">1/(1+สมมติฐาน!$B$41)^(A43-1)</f>
        <v>0.510028165626483</v>
      </c>
      <c r="X43" s="14" t="n">
        <f aca="false">V43*W43</f>
        <v>234314.194367917</v>
      </c>
    </row>
    <row r="44" customFormat="false" ht="15" hidden="false" customHeight="true" outlineLevel="0" collapsed="false">
      <c r="A44" s="23" t="n">
        <v>36</v>
      </c>
      <c r="B44" s="23" t="n">
        <f aca="false">สมมติฐาน!$B$38+A44-1</f>
        <v>2604</v>
      </c>
      <c r="C44" s="23" t="n">
        <f aca="false">สมมติฐาน!$B$7+A44-1</f>
        <v>57</v>
      </c>
      <c r="D44" s="24" t="str">
        <f aca="false">IF(C44&lt;สมมติฐาน!$B$8,"รับราชการ","รับบำนาญ")</f>
        <v>รับราชการ</v>
      </c>
      <c r="E44" s="25" t="n">
        <f aca="false">(1+สมมติฐาน!$B$39)^(A44-1)</f>
        <v>1.99988955266246</v>
      </c>
      <c r="F44" s="26" t="n">
        <f aca="false">IF(D44="รับราชการ",สมมติฐาน!$B$13*(1+สมมติฐาน!$B$15)^(A44-1)*E44,0)</f>
        <v>68391.5410940729</v>
      </c>
      <c r="G44" s="26" t="n">
        <f aca="false">F44*12</f>
        <v>820698.493128874</v>
      </c>
      <c r="H44" s="26" t="n">
        <f aca="false">IF(D44="รับราชการ",IF(A44&gt;=สมมติฐาน!$B$19,สมมติฐาน!$B$18,IF(A44&gt;=สมมติฐาน!$B$17,สมมติฐาน!$B$16,0))*12*E44,0)</f>
        <v>0</v>
      </c>
      <c r="I44" s="26" t="n">
        <f aca="false">G44*สมมติฐาน!$B$21</f>
        <v>41034.9246564437</v>
      </c>
      <c r="J44" s="26" t="n">
        <f aca="false">IF(AND(D44="รับราชการ",A44&lt;=สมมติฐาน!$B$23),สมมติฐาน!$B$22*12*E44,0)</f>
        <v>0</v>
      </c>
      <c r="K44" s="26" t="n">
        <f aca="false">IF(AND(D44="รับราชการ",สมมติฐาน!$B$26&gt;0,A44&gt;=สมมติฐาน!$B$29,A44&lt;สมมติฐาน!$B$29+สมมติฐาน!$B$30),สมมติฐาน!$B$28*สมมติฐาน!$B$26*E44,0)</f>
        <v>0</v>
      </c>
      <c r="L44" s="26" t="n">
        <f aca="false">G44*สมมติฐาน!$B$20</f>
        <v>24620.9547938662</v>
      </c>
      <c r="M44" s="25" t="n">
        <f aca="false">(1+สมมติฐาน!$B$39)^(A44-1)*(1+สมมติฐาน!$B$40)^(A44-1)</f>
        <v>3.99955822284844</v>
      </c>
      <c r="N44" s="23" t="n">
        <f aca="false">A44-สมมติฐาน!$B$31</f>
        <v>26</v>
      </c>
      <c r="O44" s="23" t="n">
        <f aca="false">C44+สมมติฐาน!$B$32</f>
        <v>85</v>
      </c>
      <c r="P44" s="26" t="n">
        <f aca="false">(1+สมมติฐาน!$B$25)*สมมติฐาน!$B$37*LOOKUP(C44,สมมติฐาน!$A$59:$A$64,สมมติฐาน!$B$59:$B$64)*สมมติฐาน!$B$34*M44</f>
        <v>55993.8151198782</v>
      </c>
      <c r="Q44" s="26" t="n">
        <f aca="false">IF(AND(สมมติฐาน!$B$26&gt;0,N44&gt;=0,N44&lt;=19),สมมติฐาน!$B$26*สมมติฐาน!$B$37*LOOKUP(MAX(N44,0),สมมติฐาน!$A$59:$A$64,สมมติฐาน!$B$59:$B$64)*สมมติฐาน!$B$34*M44,0)</f>
        <v>0</v>
      </c>
      <c r="R44" s="26" t="n">
        <f aca="false">IF(AND(สมมติฐาน!$B$27&gt;0,O44&lt;=สมมติฐาน!$B$33),สมมติฐาน!$B$27*สมมติฐาน!$B$37*LOOKUP(O44,สมมติฐาน!$A$59:$A$64,สมมติฐาน!$B$59:$B$64)*สมมติฐาน!$B$34*M44,0)</f>
        <v>0</v>
      </c>
      <c r="S44" s="26" t="n">
        <f aca="false">IF(D44="รับราชการ",0,$AD$6*12*(1+สมมติฐาน!$B$42)^(A44-38-1))</f>
        <v>0</v>
      </c>
      <c r="T44" s="26" t="n">
        <f aca="false">IF(C44=สมมติฐาน!$B$8,$AD$7,0)+IF(C44=65,$AD$9,0)+IF(C44=70,$AD$11,0)+IF(A44=57,$AD$12+$AD$13,0)</f>
        <v>0</v>
      </c>
      <c r="U44" s="26" t="n">
        <f aca="false">G44+H44+I44+J44+K44+L44+P44+Q44+R44+S44+T44</f>
        <v>942348.187699063</v>
      </c>
      <c r="V44" s="26" t="n">
        <f aca="false">U44/E44</f>
        <v>471200.115248621</v>
      </c>
      <c r="W44" s="25" t="n">
        <f aca="false">1/(1+สมมติฐาน!$B$41)^(A44-1)</f>
        <v>0.500027613359297</v>
      </c>
      <c r="X44" s="26" t="n">
        <f aca="false">V44*W44</f>
        <v>235613.069042394</v>
      </c>
    </row>
    <row r="45" customFormat="false" ht="15" hidden="false" customHeight="true" outlineLevel="0" collapsed="false">
      <c r="A45" s="20" t="n">
        <v>37</v>
      </c>
      <c r="B45" s="20" t="n">
        <f aca="false">สมมติฐาน!$B$38+A45-1</f>
        <v>2605</v>
      </c>
      <c r="C45" s="20" t="n">
        <f aca="false">สมมติฐาน!$B$7+A45-1</f>
        <v>58</v>
      </c>
      <c r="D45" s="21" t="str">
        <f aca="false">IF(C45&lt;สมมติฐาน!$B$8,"รับราชการ","รับบำนาญ")</f>
        <v>รับราชการ</v>
      </c>
      <c r="E45" s="22" t="n">
        <f aca="false">(1+สมมติฐาน!$B$39)^(A45-1)</f>
        <v>2.03988734371571</v>
      </c>
      <c r="F45" s="14" t="n">
        <f aca="false">IF(D45="รับราชการ",สมมติฐาน!$B$13*(1+สมมติฐาน!$B$15)^(A45-1)*E45,0)</f>
        <v>71574.0550448892</v>
      </c>
      <c r="G45" s="14" t="n">
        <f aca="false">F45*12</f>
        <v>858888.66053867</v>
      </c>
      <c r="H45" s="14" t="n">
        <f aca="false">IF(D45="รับราชการ",IF(A45&gt;=สมมติฐาน!$B$19,สมมติฐาน!$B$18,IF(A45&gt;=สมมติฐาน!$B$17,สมมติฐาน!$B$16,0))*12*E45,0)</f>
        <v>0</v>
      </c>
      <c r="I45" s="14" t="n">
        <f aca="false">G45*สมมติฐาน!$B$21</f>
        <v>42944.4330269335</v>
      </c>
      <c r="J45" s="14" t="n">
        <f aca="false">IF(AND(D45="รับราชการ",A45&lt;=สมมติฐาน!$B$23),สมมติฐาน!$B$22*12*E45,0)</f>
        <v>0</v>
      </c>
      <c r="K45" s="14" t="n">
        <f aca="false">IF(AND(D45="รับราชการ",สมมติฐาน!$B$26&gt;0,A45&gt;=สมมติฐาน!$B$29,A45&lt;สมมติฐาน!$B$29+สมมติฐาน!$B$30),สมมติฐาน!$B$28*สมมติฐาน!$B$26*E45,0)</f>
        <v>0</v>
      </c>
      <c r="L45" s="14" t="n">
        <f aca="false">G45*สมมติฐาน!$B$20</f>
        <v>25766.6598161601</v>
      </c>
      <c r="M45" s="22" t="n">
        <f aca="false">(1+สมมติฐาน!$B$39)^(A45-1)*(1+สมมติฐาน!$B$40)^(A45-1)</f>
        <v>4.16114037505152</v>
      </c>
      <c r="N45" s="20" t="n">
        <f aca="false">A45-สมมติฐาน!$B$31</f>
        <v>27</v>
      </c>
      <c r="O45" s="20" t="n">
        <f aca="false">C45+สมมติฐาน!$B$32</f>
        <v>86</v>
      </c>
      <c r="P45" s="14" t="n">
        <f aca="false">(1+สมมติฐาน!$B$25)*สมมติฐาน!$B$37*LOOKUP(C45,สมมติฐาน!$A$59:$A$64,สมมติฐาน!$B$59:$B$64)*สมมติฐาน!$B$34*M45</f>
        <v>58255.9652507212</v>
      </c>
      <c r="Q45" s="14" t="n">
        <f aca="false">IF(AND(สมมติฐาน!$B$26&gt;0,N45&gt;=0,N45&lt;=19),สมมติฐาน!$B$26*สมมติฐาน!$B$37*LOOKUP(MAX(N45,0),สมมติฐาน!$A$59:$A$64,สมมติฐาน!$B$59:$B$64)*สมมติฐาน!$B$34*M45,0)</f>
        <v>0</v>
      </c>
      <c r="R45" s="14" t="n">
        <f aca="false">IF(AND(สมมติฐาน!$B$27&gt;0,O45&lt;=สมมติฐาน!$B$33),สมมติฐาน!$B$27*สมมติฐาน!$B$37*LOOKUP(O45,สมมติฐาน!$A$59:$A$64,สมมติฐาน!$B$59:$B$64)*สมมติฐาน!$B$34*M45,0)</f>
        <v>0</v>
      </c>
      <c r="S45" s="14" t="n">
        <f aca="false">IF(D45="รับราชการ",0,$AD$6*12*(1+สมมติฐาน!$B$42)^(A45-38-1))</f>
        <v>0</v>
      </c>
      <c r="T45" s="14" t="n">
        <f aca="false">IF(C45=สมมติฐาน!$B$8,$AD$7,0)+IF(C45=65,$AD$9,0)+IF(C45=70,$AD$11,0)+IF(A45=57,$AD$12+$AD$13,0)</f>
        <v>0</v>
      </c>
      <c r="U45" s="14" t="n">
        <f aca="false">G45+H45+I45+J45+K45+L45+P45+Q45+R45+S45+T45</f>
        <v>985855.718632485</v>
      </c>
      <c r="V45" s="14" t="n">
        <f aca="false">U45/E45</f>
        <v>483289.2961808</v>
      </c>
      <c r="W45" s="22" t="n">
        <f aca="false">1/(1+สมมติฐาน!$B$41)^(A45-1)</f>
        <v>0.490223150352252</v>
      </c>
      <c r="X45" s="14" t="n">
        <f aca="false">V45*W45</f>
        <v>236919.601305274</v>
      </c>
    </row>
    <row r="46" customFormat="false" ht="15" hidden="false" customHeight="true" outlineLevel="0" collapsed="false">
      <c r="A46" s="23" t="n">
        <v>38</v>
      </c>
      <c r="B46" s="23" t="n">
        <f aca="false">สมมติฐาน!$B$38+A46-1</f>
        <v>2606</v>
      </c>
      <c r="C46" s="23" t="n">
        <f aca="false">สมมติฐาน!$B$7+A46-1</f>
        <v>59</v>
      </c>
      <c r="D46" s="24" t="str">
        <f aca="false">IF(C46&lt;สมมติฐาน!$B$8,"รับราชการ","รับบำนาญ")</f>
        <v>รับราชการ</v>
      </c>
      <c r="E46" s="25" t="n">
        <f aca="false">(1+สมมติฐาน!$B$39)^(A46-1)</f>
        <v>2.08068509059002</v>
      </c>
      <c r="F46" s="26" t="n">
        <f aca="false">IF(D46="รับราชการ",สมมติฐาน!$B$13*(1+สมมติฐาน!$B$15)^(A46-1)*E46,0)</f>
        <v>74904.6632612406</v>
      </c>
      <c r="G46" s="26" t="n">
        <f aca="false">F46*12</f>
        <v>898855.959134887</v>
      </c>
      <c r="H46" s="26" t="n">
        <f aca="false">IF(D46="รับราชการ",IF(A46&gt;=สมมติฐาน!$B$19,สมมติฐาน!$B$18,IF(A46&gt;=สมมติฐาน!$B$17,สมมติฐาน!$B$16,0))*12*E46,0)</f>
        <v>0</v>
      </c>
      <c r="I46" s="26" t="n">
        <f aca="false">G46*สมมติฐาน!$B$21</f>
        <v>44942.7979567444</v>
      </c>
      <c r="J46" s="26" t="n">
        <f aca="false">IF(AND(D46="รับราชการ",A46&lt;=สมมติฐาน!$B$23),สมมติฐาน!$B$22*12*E46,0)</f>
        <v>0</v>
      </c>
      <c r="K46" s="26" t="n">
        <f aca="false">IF(AND(D46="รับราชการ",สมมติฐาน!$B$26&gt;0,A46&gt;=สมมติฐาน!$B$29,A46&lt;สมมติฐาน!$B$29+สมมติฐาน!$B$30),สมมติฐาน!$B$28*สมมติฐาน!$B$26*E46,0)</f>
        <v>0</v>
      </c>
      <c r="L46" s="26" t="n">
        <f aca="false">G46*สมมติฐาน!$B$20</f>
        <v>26965.6787740466</v>
      </c>
      <c r="M46" s="25" t="n">
        <f aca="false">(1+สมมติฐาน!$B$39)^(A46-1)*(1+สมมติฐาน!$B$40)^(A46-1)</f>
        <v>4.3292504462036</v>
      </c>
      <c r="N46" s="23" t="n">
        <f aca="false">A46-สมมติฐาน!$B$31</f>
        <v>28</v>
      </c>
      <c r="O46" s="23" t="n">
        <f aca="false">C46+สมมติฐาน!$B$32</f>
        <v>87</v>
      </c>
      <c r="P46" s="26" t="n">
        <f aca="false">(1+สมมติฐาน!$B$25)*สมมติฐาน!$B$37*LOOKUP(C46,สมมติฐาน!$A$59:$A$64,สมมติฐาน!$B$59:$B$64)*สมมติฐาน!$B$34*M46</f>
        <v>60609.5062468504</v>
      </c>
      <c r="Q46" s="26" t="n">
        <f aca="false">IF(AND(สมมติฐาน!$B$26&gt;0,N46&gt;=0,N46&lt;=19),สมมติฐาน!$B$26*สมมติฐาน!$B$37*LOOKUP(MAX(N46,0),สมมติฐาน!$A$59:$A$64,สมมติฐาน!$B$59:$B$64)*สมมติฐาน!$B$34*M46,0)</f>
        <v>0</v>
      </c>
      <c r="R46" s="26" t="n">
        <f aca="false">IF(AND(สมมติฐาน!$B$27&gt;0,O46&lt;=สมมติฐาน!$B$33),สมมติฐาน!$B$27*สมมติฐาน!$B$37*LOOKUP(O46,สมมติฐาน!$A$59:$A$64,สมมติฐาน!$B$59:$B$64)*สมมติฐาน!$B$34*M46,0)</f>
        <v>0</v>
      </c>
      <c r="S46" s="26" t="n">
        <f aca="false">IF(D46="รับราชการ",0,$AD$6*12*(1+สมมติฐาน!$B$42)^(A46-38-1))</f>
        <v>0</v>
      </c>
      <c r="T46" s="26" t="n">
        <f aca="false">IF(C46=สมมติฐาน!$B$8,$AD$7,0)+IF(C46=65,$AD$9,0)+IF(C46=70,$AD$11,0)+IF(A46=57,$AD$12+$AD$13,0)</f>
        <v>0</v>
      </c>
      <c r="U46" s="26" t="n">
        <f aca="false">G46+H46+I46+J46+K46+L46+P46+Q46+R46+S46+T46</f>
        <v>1031373.94211253</v>
      </c>
      <c r="V46" s="26" t="n">
        <f aca="false">U46/E46</f>
        <v>495689.59126826</v>
      </c>
      <c r="W46" s="25" t="n">
        <f aca="false">1/(1+สมมติฐาน!$B$41)^(A46-1)</f>
        <v>0.480610931717894</v>
      </c>
      <c r="X46" s="26" t="n">
        <f aca="false">V46*W46</f>
        <v>238233.8363023</v>
      </c>
    </row>
    <row r="47" customFormat="false" ht="15" hidden="false" customHeight="true" outlineLevel="0" collapsed="false">
      <c r="A47" s="20" t="n">
        <v>39</v>
      </c>
      <c r="B47" s="20" t="n">
        <f aca="false">สมมติฐาน!$B$38+A47-1</f>
        <v>2607</v>
      </c>
      <c r="C47" s="20" t="n">
        <f aca="false">สมมติฐาน!$B$7+A47-1</f>
        <v>60</v>
      </c>
      <c r="D47" s="21" t="str">
        <f aca="false">IF(C47&lt;สมมติฐาน!$B$8,"รับราชการ","รับบำนาญ")</f>
        <v>รับบำนาญ</v>
      </c>
      <c r="E47" s="22" t="n">
        <f aca="false">(1+สมมติฐาน!$B$39)^(A47-1)</f>
        <v>2.12229879240182</v>
      </c>
      <c r="F47" s="14" t="n">
        <f aca="false">IF(D47="รับราชการ",สมมติฐาน!$B$13*(1+สมมติฐาน!$B$15)^(A47-1)*E47,0)</f>
        <v>0</v>
      </c>
      <c r="G47" s="14" t="n">
        <f aca="false">F47*12</f>
        <v>0</v>
      </c>
      <c r="H47" s="14" t="n">
        <f aca="false">IF(D47="รับราชการ",IF(A47&gt;=สมมติฐาน!$B$19,สมมติฐาน!$B$18,IF(A47&gt;=สมมติฐาน!$B$17,สมมติฐาน!$B$16,0))*12*E47,0)</f>
        <v>0</v>
      </c>
      <c r="I47" s="14" t="n">
        <f aca="false">G47*สมมติฐาน!$B$21</f>
        <v>0</v>
      </c>
      <c r="J47" s="14" t="n">
        <f aca="false">IF(AND(D47="รับราชการ",A47&lt;=สมมติฐาน!$B$23),สมมติฐาน!$B$22*12*E47,0)</f>
        <v>0</v>
      </c>
      <c r="K47" s="14" t="n">
        <f aca="false">IF(AND(D47="รับราชการ",สมมติฐาน!$B$26&gt;0,A47&gt;=สมมติฐาน!$B$29,A47&lt;สมมติฐาน!$B$29+สมมติฐาน!$B$30),สมมติฐาน!$B$28*สมมติฐาน!$B$26*E47,0)</f>
        <v>0</v>
      </c>
      <c r="L47" s="14" t="n">
        <f aca="false">G47*สมมติฐาน!$B$20</f>
        <v>0</v>
      </c>
      <c r="M47" s="22" t="n">
        <f aca="false">(1+สมมติฐาน!$B$39)^(A47-1)*(1+สมมติฐาน!$B$40)^(A47-1)</f>
        <v>4.50415216423022</v>
      </c>
      <c r="N47" s="20" t="n">
        <f aca="false">A47-สมมติฐาน!$B$31</f>
        <v>29</v>
      </c>
      <c r="O47" s="20" t="n">
        <f aca="false">C47+สมมติฐาน!$B$32</f>
        <v>88</v>
      </c>
      <c r="P47" s="14" t="n">
        <f aca="false">(1+สมมติฐาน!$B$25)*สมมติฐาน!$B$37*LOOKUP(C47,สมมติฐาน!$A$59:$A$64,สมมติฐาน!$B$59:$B$64)*สมมติฐาน!$B$34*M47</f>
        <v>126116.260598446</v>
      </c>
      <c r="Q47" s="14" t="n">
        <f aca="false">IF(AND(สมมติฐาน!$B$26&gt;0,N47&gt;=0,N47&lt;=19),สมมติฐาน!$B$26*สมมติฐาน!$B$37*LOOKUP(MAX(N47,0),สมมติฐาน!$A$59:$A$64,สมมติฐาน!$B$59:$B$64)*สมมติฐาน!$B$34*M47,0)</f>
        <v>0</v>
      </c>
      <c r="R47" s="14" t="n">
        <f aca="false">IF(AND(สมมติฐาน!$B$27&gt;0,O47&lt;=สมมติฐาน!$B$33),สมมติฐาน!$B$27*สมมติฐาน!$B$37*LOOKUP(O47,สมมติฐาน!$A$59:$A$64,สมมติฐาน!$B$59:$B$64)*สมมติฐาน!$B$34*M47,0)</f>
        <v>0</v>
      </c>
      <c r="S47" s="14" t="n">
        <f aca="false">IF(D47="รับราชการ",0,$AD$6*12*(1+สมมติฐาน!$B$42)^(A47-38-1))</f>
        <v>575678.115283025</v>
      </c>
      <c r="T47" s="14" t="n">
        <f aca="false">IF(C47=สมมติฐาน!$B$8,$AD$7,0)+IF(C47=65,$AD$9,0)+IF(C47=70,$AD$11,0)+IF(A47=57,$AD$12+$AD$13,0)</f>
        <v>200000</v>
      </c>
      <c r="U47" s="14" t="n">
        <f aca="false">G47+H47+I47+J47+K47+L47+P47+Q47+R47+S47+T47</f>
        <v>901794.375881472</v>
      </c>
      <c r="V47" s="14" t="n">
        <f aca="false">U47/E47</f>
        <v>424913.956088579</v>
      </c>
      <c r="W47" s="22" t="n">
        <f aca="false">1/(1+สมมติฐาน!$B$41)^(A47-1)</f>
        <v>0.47118718795872</v>
      </c>
      <c r="X47" s="14" t="n">
        <f aca="false">V47*W47</f>
        <v>200214.012093793</v>
      </c>
    </row>
    <row r="48" customFormat="false" ht="15" hidden="false" customHeight="true" outlineLevel="0" collapsed="false">
      <c r="A48" s="23" t="n">
        <v>40</v>
      </c>
      <c r="B48" s="23" t="n">
        <f aca="false">สมมติฐาน!$B$38+A48-1</f>
        <v>2608</v>
      </c>
      <c r="C48" s="23" t="n">
        <f aca="false">สมมติฐาน!$B$7+A48-1</f>
        <v>61</v>
      </c>
      <c r="D48" s="24" t="str">
        <f aca="false">IF(C48&lt;สมมติฐาน!$B$8,"รับราชการ","รับบำนาญ")</f>
        <v>รับบำนาญ</v>
      </c>
      <c r="E48" s="25" t="n">
        <f aca="false">(1+สมมติฐาน!$B$39)^(A48-1)</f>
        <v>2.16474476824986</v>
      </c>
      <c r="F48" s="26" t="n">
        <f aca="false">IF(D48="รับราชการ",สมมติฐาน!$B$13*(1+สมมติฐาน!$B$15)^(A48-1)*E48,0)</f>
        <v>0</v>
      </c>
      <c r="G48" s="26" t="n">
        <f aca="false">F48*12</f>
        <v>0</v>
      </c>
      <c r="H48" s="26" t="n">
        <f aca="false">IF(D48="รับราชการ",IF(A48&gt;=สมมติฐาน!$B$19,สมมติฐาน!$B$18,IF(A48&gt;=สมมติฐาน!$B$17,สมมติฐาน!$B$16,0))*12*E48,0)</f>
        <v>0</v>
      </c>
      <c r="I48" s="26" t="n">
        <f aca="false">G48*สมมติฐาน!$B$21</f>
        <v>0</v>
      </c>
      <c r="J48" s="26" t="n">
        <f aca="false">IF(AND(D48="รับราชการ",A48&lt;=สมมติฐาน!$B$23),สมมติฐาน!$B$22*12*E48,0)</f>
        <v>0</v>
      </c>
      <c r="K48" s="26" t="n">
        <f aca="false">IF(AND(D48="รับราชการ",สมมติฐาน!$B$26&gt;0,A48&gt;=สมมติฐาน!$B$29,A48&lt;สมมติฐาน!$B$29+สมมติฐาน!$B$30),สมมติฐาน!$B$28*สมมติฐาน!$B$26*E48,0)</f>
        <v>0</v>
      </c>
      <c r="L48" s="26" t="n">
        <f aca="false">G48*สมมติฐาน!$B$20</f>
        <v>0</v>
      </c>
      <c r="M48" s="25" t="n">
        <f aca="false">(1+สมมติฐาน!$B$39)^(A48-1)*(1+สมมติฐาน!$B$40)^(A48-1)</f>
        <v>4.68611991166512</v>
      </c>
      <c r="N48" s="23" t="n">
        <f aca="false">A48-สมมติฐาน!$B$31</f>
        <v>30</v>
      </c>
      <c r="O48" s="23" t="n">
        <f aca="false">C48+สมมติฐาน!$B$32</f>
        <v>89</v>
      </c>
      <c r="P48" s="26" t="n">
        <f aca="false">(1+สมมติฐาน!$B$25)*สมมติฐาน!$B$37*LOOKUP(C48,สมมติฐาน!$A$59:$A$64,สมมติฐาน!$B$59:$B$64)*สมมติฐาน!$B$34*M48</f>
        <v>131211.357526624</v>
      </c>
      <c r="Q48" s="26" t="n">
        <f aca="false">IF(AND(สมมติฐาน!$B$26&gt;0,N48&gt;=0,N48&lt;=19),สมมติฐาน!$B$26*สมมติฐาน!$B$37*LOOKUP(MAX(N48,0),สมมติฐาน!$A$59:$A$64,สมมติฐาน!$B$59:$B$64)*สมมติฐาน!$B$34*M48,0)</f>
        <v>0</v>
      </c>
      <c r="R48" s="26" t="n">
        <f aca="false">IF(AND(สมมติฐาน!$B$27&gt;0,O48&lt;=สมมติฐาน!$B$33),สมมติฐาน!$B$27*สมมติฐาน!$B$37*LOOKUP(O48,สมมติฐาน!$A$59:$A$64,สมมติฐาน!$B$59:$B$64)*สมมติฐาน!$B$34*M48,0)</f>
        <v>0</v>
      </c>
      <c r="S48" s="26" t="n">
        <f aca="false">IF(D48="รับราชการ",0,$AD$6*12*(1+สมมติฐาน!$B$42)^(A48-38-1))</f>
        <v>581434.896435856</v>
      </c>
      <c r="T48" s="26" t="n">
        <f aca="false">IF(C48=สมมติฐาน!$B$8,$AD$7,0)+IF(C48=65,$AD$9,0)+IF(C48=70,$AD$11,0)+IF(A48=57,$AD$12+$AD$13,0)</f>
        <v>0</v>
      </c>
      <c r="U48" s="26" t="n">
        <f aca="false">G48+H48+I48+J48+K48+L48+P48+Q48+R48+S48+T48</f>
        <v>712646.253962479</v>
      </c>
      <c r="V48" s="26" t="n">
        <f aca="false">U48/E48</f>
        <v>329205.670994016</v>
      </c>
      <c r="W48" s="25" t="n">
        <f aca="false">1/(1+สมมติฐาน!$B$41)^(A48-1)</f>
        <v>0.461948223488941</v>
      </c>
      <c r="X48" s="26" t="n">
        <f aca="false">V48*W48</f>
        <v>152075.97487817</v>
      </c>
    </row>
    <row r="49" customFormat="false" ht="15" hidden="false" customHeight="true" outlineLevel="0" collapsed="false">
      <c r="A49" s="20" t="n">
        <v>41</v>
      </c>
      <c r="B49" s="20" t="n">
        <f aca="false">สมมติฐาน!$B$38+A49-1</f>
        <v>2609</v>
      </c>
      <c r="C49" s="20" t="n">
        <f aca="false">สมมติฐาน!$B$7+A49-1</f>
        <v>62</v>
      </c>
      <c r="D49" s="21" t="str">
        <f aca="false">IF(C49&lt;สมมติฐาน!$B$8,"รับราชการ","รับบำนาญ")</f>
        <v>รับบำนาญ</v>
      </c>
      <c r="E49" s="22" t="n">
        <f aca="false">(1+สมมติฐาน!$B$39)^(A49-1)</f>
        <v>2.20803966361485</v>
      </c>
      <c r="F49" s="14" t="n">
        <f aca="false">IF(D49="รับราชการ",สมมติฐาน!$B$13*(1+สมมติฐาน!$B$15)^(A49-1)*E49,0)</f>
        <v>0</v>
      </c>
      <c r="G49" s="14" t="n">
        <f aca="false">F49*12</f>
        <v>0</v>
      </c>
      <c r="H49" s="14" t="n">
        <f aca="false">IF(D49="รับราชการ",IF(A49&gt;=สมมติฐาน!$B$19,สมมติฐาน!$B$18,IF(A49&gt;=สมมติฐาน!$B$17,สมมติฐาน!$B$16,0))*12*E49,0)</f>
        <v>0</v>
      </c>
      <c r="I49" s="14" t="n">
        <f aca="false">G49*สมมติฐาน!$B$21</f>
        <v>0</v>
      </c>
      <c r="J49" s="14" t="n">
        <f aca="false">IF(AND(D49="รับราชการ",A49&lt;=สมมติฐาน!$B$23),สมมติฐาน!$B$22*12*E49,0)</f>
        <v>0</v>
      </c>
      <c r="K49" s="14" t="n">
        <f aca="false">IF(AND(D49="รับราชการ",สมมติฐาน!$B$26&gt;0,A49&gt;=สมมติฐาน!$B$29,A49&lt;สมมติฐาน!$B$29+สมมติฐาน!$B$30),สมมติฐาน!$B$28*สมมติฐาน!$B$26*E49,0)</f>
        <v>0</v>
      </c>
      <c r="L49" s="14" t="n">
        <f aca="false">G49*สมมติฐาน!$B$20</f>
        <v>0</v>
      </c>
      <c r="M49" s="22" t="n">
        <f aca="false">(1+สมมติฐาน!$B$39)^(A49-1)*(1+สมมติฐาน!$B$40)^(A49-1)</f>
        <v>4.8754391560964</v>
      </c>
      <c r="N49" s="20" t="n">
        <f aca="false">A49-สมมติฐาน!$B$31</f>
        <v>31</v>
      </c>
      <c r="O49" s="20" t="n">
        <f aca="false">C49+สมมติฐาน!$B$32</f>
        <v>90</v>
      </c>
      <c r="P49" s="14" t="n">
        <f aca="false">(1+สมมติฐาน!$B$25)*สมมติฐาน!$B$37*LOOKUP(C49,สมมติฐาน!$A$59:$A$64,สมมติฐาน!$B$59:$B$64)*สมมติฐาน!$B$34*M49</f>
        <v>136512.296370699</v>
      </c>
      <c r="Q49" s="14" t="n">
        <f aca="false">IF(AND(สมมติฐาน!$B$26&gt;0,N49&gt;=0,N49&lt;=19),สมมติฐาน!$B$26*สมมติฐาน!$B$37*LOOKUP(MAX(N49,0),สมมติฐาน!$A$59:$A$64,สมมติฐาน!$B$59:$B$64)*สมมติฐาน!$B$34*M49,0)</f>
        <v>0</v>
      </c>
      <c r="R49" s="14" t="n">
        <f aca="false">IF(AND(สมมติฐาน!$B$27&gt;0,O49&lt;=สมมติฐาน!$B$33),สมมติฐาน!$B$27*สมมติฐาน!$B$37*LOOKUP(O49,สมมติฐาน!$A$59:$A$64,สมมติฐาน!$B$59:$B$64)*สมมติฐาน!$B$34*M49,0)</f>
        <v>0</v>
      </c>
      <c r="S49" s="14" t="n">
        <f aca="false">IF(D49="รับราชการ",0,$AD$6*12*(1+สมมติฐาน!$B$42)^(A49-38-1))</f>
        <v>587249.245400214</v>
      </c>
      <c r="T49" s="14" t="n">
        <f aca="false">IF(C49=สมมติฐาน!$B$8,$AD$7,0)+IF(C49=65,$AD$9,0)+IF(C49=70,$AD$11,0)+IF(A49=57,$AD$12+$AD$13,0)</f>
        <v>0</v>
      </c>
      <c r="U49" s="14" t="n">
        <f aca="false">G49+H49+I49+J49+K49+L49+P49+Q49+R49+S49+T49</f>
        <v>723761.541770913</v>
      </c>
      <c r="V49" s="14" t="n">
        <f aca="false">U49/E49</f>
        <v>327784.665147736</v>
      </c>
      <c r="W49" s="22" t="n">
        <f aca="false">1/(1+สมมติฐาน!$B$41)^(A49-1)</f>
        <v>0.452890415185236</v>
      </c>
      <c r="X49" s="14" t="n">
        <f aca="false">V49*W49</f>
        <v>148450.533090112</v>
      </c>
    </row>
    <row r="50" customFormat="false" ht="15" hidden="false" customHeight="true" outlineLevel="0" collapsed="false">
      <c r="A50" s="23" t="n">
        <v>42</v>
      </c>
      <c r="B50" s="23" t="n">
        <f aca="false">สมมติฐาน!$B$38+A50-1</f>
        <v>2610</v>
      </c>
      <c r="C50" s="23" t="n">
        <f aca="false">สมมติฐาน!$B$7+A50-1</f>
        <v>63</v>
      </c>
      <c r="D50" s="24" t="str">
        <f aca="false">IF(C50&lt;สมมติฐาน!$B$8,"รับราชการ","รับบำนาญ")</f>
        <v>รับบำนาญ</v>
      </c>
      <c r="E50" s="25" t="n">
        <f aca="false">(1+สมมติฐาน!$B$39)^(A50-1)</f>
        <v>2.25220045688715</v>
      </c>
      <c r="F50" s="26" t="n">
        <f aca="false">IF(D50="รับราชการ",สมมติฐาน!$B$13*(1+สมมติฐาน!$B$15)^(A50-1)*E50,0)</f>
        <v>0</v>
      </c>
      <c r="G50" s="26" t="n">
        <f aca="false">F50*12</f>
        <v>0</v>
      </c>
      <c r="H50" s="26" t="n">
        <f aca="false">IF(D50="รับราชการ",IF(A50&gt;=สมมติฐาน!$B$19,สมมติฐาน!$B$18,IF(A50&gt;=สมมติฐาน!$B$17,สมมติฐาน!$B$16,0))*12*E50,0)</f>
        <v>0</v>
      </c>
      <c r="I50" s="26" t="n">
        <f aca="false">G50*สมมติฐาน!$B$21</f>
        <v>0</v>
      </c>
      <c r="J50" s="26" t="n">
        <f aca="false">IF(AND(D50="รับราชการ",A50&lt;=สมมติฐาน!$B$23),สมมติฐาน!$B$22*12*E50,0)</f>
        <v>0</v>
      </c>
      <c r="K50" s="26" t="n">
        <f aca="false">IF(AND(D50="รับราชการ",สมมติฐาน!$B$26&gt;0,A50&gt;=สมมติฐาน!$B$29,A50&lt;สมมติฐาน!$B$29+สมมติฐาน!$B$30),สมมติฐาน!$B$28*สมมติฐาน!$B$26*E50,0)</f>
        <v>0</v>
      </c>
      <c r="L50" s="26" t="n">
        <f aca="false">G50*สมมติฐาน!$B$20</f>
        <v>0</v>
      </c>
      <c r="M50" s="25" t="n">
        <f aca="false">(1+สมมติฐาน!$B$39)^(A50-1)*(1+สมมติฐาน!$B$40)^(A50-1)</f>
        <v>5.07240689800269</v>
      </c>
      <c r="N50" s="23" t="n">
        <f aca="false">A50-สมมติฐาน!$B$31</f>
        <v>32</v>
      </c>
      <c r="O50" s="23" t="n">
        <f aca="false">C50+สมมติฐาน!$B$32</f>
        <v>91</v>
      </c>
      <c r="P50" s="26" t="n">
        <f aca="false">(1+สมมติฐาน!$B$25)*สมมติฐาน!$B$37*LOOKUP(C50,สมมติฐาน!$A$59:$A$64,สมมติฐาน!$B$59:$B$64)*สมมติฐาน!$B$34*M50</f>
        <v>142027.393144075</v>
      </c>
      <c r="Q50" s="26" t="n">
        <f aca="false">IF(AND(สมมติฐาน!$B$26&gt;0,N50&gt;=0,N50&lt;=19),สมมติฐาน!$B$26*สมมติฐาน!$B$37*LOOKUP(MAX(N50,0),สมมติฐาน!$A$59:$A$64,สมมติฐาน!$B$59:$B$64)*สมมติฐาน!$B$34*M50,0)</f>
        <v>0</v>
      </c>
      <c r="R50" s="26" t="n">
        <f aca="false">IF(AND(สมมติฐาน!$B$27&gt;0,O50&lt;=สมมติฐาน!$B$33),สมมติฐาน!$B$27*สมมติฐาน!$B$37*LOOKUP(O50,สมมติฐาน!$A$59:$A$64,สมมติฐาน!$B$59:$B$64)*สมมติฐาน!$B$34*M50,0)</f>
        <v>0</v>
      </c>
      <c r="S50" s="26" t="n">
        <f aca="false">IF(D50="รับราชการ",0,$AD$6*12*(1+สมมติฐาน!$B$42)^(A50-38-1))</f>
        <v>593121.737854217</v>
      </c>
      <c r="T50" s="26" t="n">
        <f aca="false">IF(C50=สมมติฐาน!$B$8,$AD$7,0)+IF(C50=65,$AD$9,0)+IF(C50=70,$AD$11,0)+IF(A50=57,$AD$12+$AD$13,0)</f>
        <v>0</v>
      </c>
      <c r="U50" s="26" t="n">
        <f aca="false">G50+H50+I50+J50+K50+L50+P50+Q50+R50+S50+T50</f>
        <v>735149.130998292</v>
      </c>
      <c r="V50" s="26" t="n">
        <f aca="false">U50/E50</f>
        <v>326413.720745963</v>
      </c>
      <c r="W50" s="25" t="n">
        <f aca="false">1/(1+สมมติฐาน!$B$41)^(A50-1)</f>
        <v>0.444010210965918</v>
      </c>
      <c r="X50" s="26" t="n">
        <f aca="false">V50*W50</f>
        <v>144931.025010585</v>
      </c>
    </row>
    <row r="51" customFormat="false" ht="15" hidden="false" customHeight="true" outlineLevel="0" collapsed="false">
      <c r="A51" s="20" t="n">
        <v>43</v>
      </c>
      <c r="B51" s="20" t="n">
        <f aca="false">สมมติฐาน!$B$38+A51-1</f>
        <v>2611</v>
      </c>
      <c r="C51" s="20" t="n">
        <f aca="false">สมมติฐาน!$B$7+A51-1</f>
        <v>64</v>
      </c>
      <c r="D51" s="21" t="str">
        <f aca="false">IF(C51&lt;สมมติฐาน!$B$8,"รับราชการ","รับบำนาญ")</f>
        <v>รับบำนาญ</v>
      </c>
      <c r="E51" s="22" t="n">
        <f aca="false">(1+สมมติฐาน!$B$39)^(A51-1)</f>
        <v>2.29724446602489</v>
      </c>
      <c r="F51" s="14" t="n">
        <f aca="false">IF(D51="รับราชการ",สมมติฐาน!$B$13*(1+สมมติฐาน!$B$15)^(A51-1)*E51,0)</f>
        <v>0</v>
      </c>
      <c r="G51" s="14" t="n">
        <f aca="false">F51*12</f>
        <v>0</v>
      </c>
      <c r="H51" s="14" t="n">
        <f aca="false">IF(D51="รับราชการ",IF(A51&gt;=สมมติฐาน!$B$19,สมมติฐาน!$B$18,IF(A51&gt;=สมมติฐาน!$B$17,สมมติฐาน!$B$16,0))*12*E51,0)</f>
        <v>0</v>
      </c>
      <c r="I51" s="14" t="n">
        <f aca="false">G51*สมมติฐาน!$B$21</f>
        <v>0</v>
      </c>
      <c r="J51" s="14" t="n">
        <f aca="false">IF(AND(D51="รับราชการ",A51&lt;=สมมติฐาน!$B$23),สมมติฐาน!$B$22*12*E51,0)</f>
        <v>0</v>
      </c>
      <c r="K51" s="14" t="n">
        <f aca="false">IF(AND(D51="รับราชการ",สมมติฐาน!$B$26&gt;0,A51&gt;=สมมติฐาน!$B$29,A51&lt;สมมติฐาน!$B$29+สมมติฐาน!$B$30),สมมติฐาน!$B$28*สมมติฐาน!$B$26*E51,0)</f>
        <v>0</v>
      </c>
      <c r="L51" s="14" t="n">
        <f aca="false">G51*สมมติฐาน!$B$20</f>
        <v>0</v>
      </c>
      <c r="M51" s="22" t="n">
        <f aca="false">(1+สมมติฐาน!$B$39)^(A51-1)*(1+สมมติฐาน!$B$40)^(A51-1)</f>
        <v>5.277332136682</v>
      </c>
      <c r="N51" s="20" t="n">
        <f aca="false">A51-สมมติฐาน!$B$31</f>
        <v>33</v>
      </c>
      <c r="O51" s="20" t="n">
        <f aca="false">C51+สมมติฐาน!$B$32</f>
        <v>92</v>
      </c>
      <c r="P51" s="14" t="n">
        <f aca="false">(1+สมมติฐาน!$B$25)*สมมติฐาน!$B$37*LOOKUP(C51,สมมติฐาน!$A$59:$A$64,สมมติฐาน!$B$59:$B$64)*สมมติฐาน!$B$34*M51</f>
        <v>147765.299827096</v>
      </c>
      <c r="Q51" s="14" t="n">
        <f aca="false">IF(AND(สมมติฐาน!$B$26&gt;0,N51&gt;=0,N51&lt;=19),สมมติฐาน!$B$26*สมมติฐาน!$B$37*LOOKUP(MAX(N51,0),สมมติฐาน!$A$59:$A$64,สมมติฐาน!$B$59:$B$64)*สมมติฐาน!$B$34*M51,0)</f>
        <v>0</v>
      </c>
      <c r="R51" s="14" t="n">
        <f aca="false">IF(AND(สมมติฐาน!$B$27&gt;0,O51&lt;=สมมติฐาน!$B$33),สมมติฐาน!$B$27*สมมติฐาน!$B$37*LOOKUP(O51,สมมติฐาน!$A$59:$A$64,สมมติฐาน!$B$59:$B$64)*สมมติฐาน!$B$34*M51,0)</f>
        <v>0</v>
      </c>
      <c r="S51" s="14" t="n">
        <f aca="false">IF(D51="รับราชการ",0,$AD$6*12*(1+สมมติฐาน!$B$42)^(A51-38-1))</f>
        <v>599052.955232759</v>
      </c>
      <c r="T51" s="14" t="n">
        <f aca="false">IF(C51=สมมติฐาน!$B$8,$AD$7,0)+IF(C51=65,$AD$9,0)+IF(C51=70,$AD$11,0)+IF(A51=57,$AD$12+$AD$13,0)</f>
        <v>0</v>
      </c>
      <c r="U51" s="14" t="n">
        <f aca="false">G51+H51+I51+J51+K51+L51+P51+Q51+R51+S51+T51</f>
        <v>746818.255059855</v>
      </c>
      <c r="V51" s="14" t="n">
        <f aca="false">U51/E51</f>
        <v>325093.069590514</v>
      </c>
      <c r="W51" s="22" t="n">
        <f aca="false">1/(1+สมมติฐาน!$B$41)^(A51-1)</f>
        <v>0.435304128397959</v>
      </c>
      <c r="X51" s="14" t="n">
        <f aca="false">V51*W51</f>
        <v>141514.355306316</v>
      </c>
    </row>
    <row r="52" customFormat="false" ht="15" hidden="false" customHeight="true" outlineLevel="0" collapsed="false">
      <c r="A52" s="23" t="n">
        <v>44</v>
      </c>
      <c r="B52" s="23" t="n">
        <f aca="false">สมมติฐาน!$B$38+A52-1</f>
        <v>2612</v>
      </c>
      <c r="C52" s="23" t="n">
        <f aca="false">สมมติฐาน!$B$7+A52-1</f>
        <v>65</v>
      </c>
      <c r="D52" s="24" t="str">
        <f aca="false">IF(C52&lt;สมมติฐาน!$B$8,"รับราชการ","รับบำนาญ")</f>
        <v>รับบำนาญ</v>
      </c>
      <c r="E52" s="25" t="n">
        <f aca="false">(1+สมมติฐาน!$B$39)^(A52-1)</f>
        <v>2.34318935534539</v>
      </c>
      <c r="F52" s="26" t="n">
        <f aca="false">IF(D52="รับราชการ",สมมติฐาน!$B$13*(1+สมมติฐาน!$B$15)^(A52-1)*E52,0)</f>
        <v>0</v>
      </c>
      <c r="G52" s="26" t="n">
        <f aca="false">F52*12</f>
        <v>0</v>
      </c>
      <c r="H52" s="26" t="n">
        <f aca="false">IF(D52="รับราชการ",IF(A52&gt;=สมมติฐาน!$B$19,สมมติฐาน!$B$18,IF(A52&gt;=สมมติฐาน!$B$17,สมมติฐาน!$B$16,0))*12*E52,0)</f>
        <v>0</v>
      </c>
      <c r="I52" s="26" t="n">
        <f aca="false">G52*สมมติฐาน!$B$21</f>
        <v>0</v>
      </c>
      <c r="J52" s="26" t="n">
        <f aca="false">IF(AND(D52="รับราชการ",A52&lt;=สมมติฐาน!$B$23),สมมติฐาน!$B$22*12*E52,0)</f>
        <v>0</v>
      </c>
      <c r="K52" s="26" t="n">
        <f aca="false">IF(AND(D52="รับราชการ",สมมติฐาน!$B$26&gt;0,A52&gt;=สมมติฐาน!$B$29,A52&lt;สมมติฐาน!$B$29+สมมติฐาน!$B$30),สมมติฐาน!$B$28*สมมติฐาน!$B$26*E52,0)</f>
        <v>0</v>
      </c>
      <c r="L52" s="26" t="n">
        <f aca="false">G52*สมมติฐาน!$B$20</f>
        <v>0</v>
      </c>
      <c r="M52" s="25" t="n">
        <f aca="false">(1+สมมติฐาน!$B$39)^(A52-1)*(1+สมมติฐาน!$B$40)^(A52-1)</f>
        <v>5.49053635500395</v>
      </c>
      <c r="N52" s="23" t="n">
        <f aca="false">A52-สมมติฐาน!$B$31</f>
        <v>34</v>
      </c>
      <c r="O52" s="23" t="n">
        <f aca="false">C52+สมมติฐาน!$B$32</f>
        <v>93</v>
      </c>
      <c r="P52" s="26" t="n">
        <f aca="false">(1+สมมติฐาน!$B$25)*สมมติฐาน!$B$37*LOOKUP(C52,สมมติฐาน!$A$59:$A$64,สมมติฐาน!$B$59:$B$64)*สมมติฐาน!$B$34*M52</f>
        <v>153735.017940111</v>
      </c>
      <c r="Q52" s="26" t="n">
        <f aca="false">IF(AND(สมมติฐาน!$B$26&gt;0,N52&gt;=0,N52&lt;=19),สมมติฐาน!$B$26*สมมติฐาน!$B$37*LOOKUP(MAX(N52,0),สมมติฐาน!$A$59:$A$64,สมมติฐาน!$B$59:$B$64)*สมมติฐาน!$B$34*M52,0)</f>
        <v>0</v>
      </c>
      <c r="R52" s="26" t="n">
        <f aca="false">IF(AND(สมมติฐาน!$B$27&gt;0,O52&lt;=สมมติฐาน!$B$33),สมมติฐาน!$B$27*สมมติฐาน!$B$37*LOOKUP(O52,สมมติฐาน!$A$59:$A$64,สมมติฐาน!$B$59:$B$64)*สมมติฐาน!$B$34*M52,0)</f>
        <v>0</v>
      </c>
      <c r="S52" s="26" t="n">
        <f aca="false">IF(D52="รับราชการ",0,$AD$6*12*(1+สมมติฐาน!$B$42)^(A52-38-1))</f>
        <v>605043.484785086</v>
      </c>
      <c r="T52" s="26" t="n">
        <f aca="false">IF(C52=สมมติฐาน!$B$8,$AD$7,0)+IF(C52=65,$AD$9,0)+IF(C52=70,$AD$11,0)+IF(A52=57,$AD$12+$AD$13,0)</f>
        <v>200000</v>
      </c>
      <c r="U52" s="26" t="n">
        <f aca="false">G52+H52+I52+J52+K52+L52+P52+Q52+R52+S52+T52</f>
        <v>958778.502725197</v>
      </c>
      <c r="V52" s="26" t="n">
        <f aca="false">U52/E52</f>
        <v>409176.706328913</v>
      </c>
      <c r="W52" s="25" t="n">
        <f aca="false">1/(1+สมมติฐาน!$B$41)^(A52-1)</f>
        <v>0.426768753331332</v>
      </c>
      <c r="X52" s="26" t="n">
        <f aca="false">V52*W52</f>
        <v>174623.832852211</v>
      </c>
    </row>
    <row r="53" customFormat="false" ht="15" hidden="false" customHeight="true" outlineLevel="0" collapsed="false">
      <c r="A53" s="20" t="n">
        <v>45</v>
      </c>
      <c r="B53" s="20" t="n">
        <f aca="false">สมมติฐาน!$B$38+A53-1</f>
        <v>2613</v>
      </c>
      <c r="C53" s="20" t="n">
        <f aca="false">สมมติฐาน!$B$7+A53-1</f>
        <v>66</v>
      </c>
      <c r="D53" s="21" t="str">
        <f aca="false">IF(C53&lt;สมมติฐาน!$B$8,"รับราชการ","รับบำนาญ")</f>
        <v>รับบำนาญ</v>
      </c>
      <c r="E53" s="22" t="n">
        <f aca="false">(1+สมมติฐาน!$B$39)^(A53-1)</f>
        <v>2.3900531424523</v>
      </c>
      <c r="F53" s="14" t="n">
        <f aca="false">IF(D53="รับราชการ",สมมติฐาน!$B$13*(1+สมมติฐาน!$B$15)^(A53-1)*E53,0)</f>
        <v>0</v>
      </c>
      <c r="G53" s="14" t="n">
        <f aca="false">F53*12</f>
        <v>0</v>
      </c>
      <c r="H53" s="14" t="n">
        <f aca="false">IF(D53="รับราชการ",IF(A53&gt;=สมมติฐาน!$B$19,สมมติฐาน!$B$18,IF(A53&gt;=สมมติฐาน!$B$17,สมมติฐาน!$B$16,0))*12*E53,0)</f>
        <v>0</v>
      </c>
      <c r="I53" s="14" t="n">
        <f aca="false">G53*สมมติฐาน!$B$21</f>
        <v>0</v>
      </c>
      <c r="J53" s="14" t="n">
        <f aca="false">IF(AND(D53="รับราชการ",A53&lt;=สมมติฐาน!$B$23),สมมติฐาน!$B$22*12*E53,0)</f>
        <v>0</v>
      </c>
      <c r="K53" s="14" t="n">
        <f aca="false">IF(AND(D53="รับราชการ",สมมติฐาน!$B$26&gt;0,A53&gt;=สมมติฐาน!$B$29,A53&lt;สมมติฐาน!$B$29+สมมติฐาน!$B$30),สมมติฐาน!$B$28*สมมติฐาน!$B$26*E53,0)</f>
        <v>0</v>
      </c>
      <c r="L53" s="14" t="n">
        <f aca="false">G53*สมมติฐาน!$B$20</f>
        <v>0</v>
      </c>
      <c r="M53" s="22" t="n">
        <f aca="false">(1+สมมติฐาน!$B$39)^(A53-1)*(1+สมมติฐาน!$B$40)^(A53-1)</f>
        <v>5.71235402374611</v>
      </c>
      <c r="N53" s="20" t="n">
        <f aca="false">A53-สมมติฐาน!$B$31</f>
        <v>35</v>
      </c>
      <c r="O53" s="20" t="n">
        <f aca="false">C53+สมมติฐาน!$B$32</f>
        <v>94</v>
      </c>
      <c r="P53" s="14" t="n">
        <f aca="false">(1+สมมติฐาน!$B$25)*สมมติฐาน!$B$37*LOOKUP(C53,สมมติฐาน!$A$59:$A$64,สมมติฐาน!$B$59:$B$64)*สมมติฐาน!$B$34*M53</f>
        <v>159945.912664891</v>
      </c>
      <c r="Q53" s="14" t="n">
        <f aca="false">IF(AND(สมมติฐาน!$B$26&gt;0,N53&gt;=0,N53&lt;=19),สมมติฐาน!$B$26*สมมติฐาน!$B$37*LOOKUP(MAX(N53,0),สมมติฐาน!$A$59:$A$64,สมมติฐาน!$B$59:$B$64)*สมมติฐาน!$B$34*M53,0)</f>
        <v>0</v>
      </c>
      <c r="R53" s="14" t="n">
        <f aca="false">IF(AND(สมมติฐาน!$B$27&gt;0,O53&lt;=สมมติฐาน!$B$33),สมมติฐาน!$B$27*สมมติฐาน!$B$37*LOOKUP(O53,สมมติฐาน!$A$59:$A$64,สมมติฐาน!$B$59:$B$64)*สมมติฐาน!$B$34*M53,0)</f>
        <v>0</v>
      </c>
      <c r="S53" s="14" t="n">
        <f aca="false">IF(D53="รับราชการ",0,$AD$6*12*(1+สมมติฐาน!$B$42)^(A53-38-1))</f>
        <v>611093.919632937</v>
      </c>
      <c r="T53" s="14" t="n">
        <f aca="false">IF(C53=สมมติฐาน!$B$8,$AD$7,0)+IF(C53=65,$AD$9,0)+IF(C53=70,$AD$11,0)+IF(A53=57,$AD$12+$AD$13,0)</f>
        <v>0</v>
      </c>
      <c r="U53" s="14" t="n">
        <f aca="false">G53+H53+I53+J53+K53+L53+P53+Q53+R53+S53+T53</f>
        <v>771039.832297828</v>
      </c>
      <c r="V53" s="14" t="n">
        <f aca="false">U53/E53</f>
        <v>322603.63529269</v>
      </c>
      <c r="W53" s="22" t="n">
        <f aca="false">1/(1+สมมติฐาน!$B$41)^(A53-1)</f>
        <v>0.418400738560129</v>
      </c>
      <c r="X53" s="14" t="n">
        <f aca="false">V53*W53</f>
        <v>134977.599268644</v>
      </c>
    </row>
    <row r="54" customFormat="false" ht="15" hidden="false" customHeight="true" outlineLevel="0" collapsed="false">
      <c r="A54" s="23" t="n">
        <v>46</v>
      </c>
      <c r="B54" s="23" t="n">
        <f aca="false">สมมติฐาน!$B$38+A54-1</f>
        <v>2614</v>
      </c>
      <c r="C54" s="23" t="n">
        <f aca="false">สมมติฐาน!$B$7+A54-1</f>
        <v>67</v>
      </c>
      <c r="D54" s="24" t="str">
        <f aca="false">IF(C54&lt;สมมติฐาน!$B$8,"รับราชการ","รับบำนาญ")</f>
        <v>รับบำนาญ</v>
      </c>
      <c r="E54" s="25" t="n">
        <f aca="false">(1+สมมติฐาน!$B$39)^(A54-1)</f>
        <v>2.43785420530135</v>
      </c>
      <c r="F54" s="26" t="n">
        <f aca="false">IF(D54="รับราชการ",สมมติฐาน!$B$13*(1+สมมติฐาน!$B$15)^(A54-1)*E54,0)</f>
        <v>0</v>
      </c>
      <c r="G54" s="26" t="n">
        <f aca="false">F54*12</f>
        <v>0</v>
      </c>
      <c r="H54" s="26" t="n">
        <f aca="false">IF(D54="รับราชการ",IF(A54&gt;=สมมติฐาน!$B$19,สมมติฐาน!$B$18,IF(A54&gt;=สมมติฐาน!$B$17,สมมติฐาน!$B$16,0))*12*E54,0)</f>
        <v>0</v>
      </c>
      <c r="I54" s="26" t="n">
        <f aca="false">G54*สมมติฐาน!$B$21</f>
        <v>0</v>
      </c>
      <c r="J54" s="26" t="n">
        <f aca="false">IF(AND(D54="รับราชการ",A54&lt;=สมมติฐาน!$B$23),สมมติฐาน!$B$22*12*E54,0)</f>
        <v>0</v>
      </c>
      <c r="K54" s="26" t="n">
        <f aca="false">IF(AND(D54="รับราชการ",สมมติฐาน!$B$26&gt;0,A54&gt;=สมมติฐาน!$B$29,A54&lt;สมมติฐาน!$B$29+สมมติฐาน!$B$30),สมมติฐาน!$B$28*สมมติฐาน!$B$26*E54,0)</f>
        <v>0</v>
      </c>
      <c r="L54" s="26" t="n">
        <f aca="false">G54*สมมติฐาน!$B$20</f>
        <v>0</v>
      </c>
      <c r="M54" s="25" t="n">
        <f aca="false">(1+สมมติฐาน!$B$39)^(A54-1)*(1+สมมติฐาน!$B$40)^(A54-1)</f>
        <v>5.94313312630546</v>
      </c>
      <c r="N54" s="23" t="n">
        <f aca="false">A54-สมมติฐาน!$B$31</f>
        <v>36</v>
      </c>
      <c r="O54" s="23" t="n">
        <f aca="false">C54+สมมติฐาน!$B$32</f>
        <v>95</v>
      </c>
      <c r="P54" s="26" t="n">
        <f aca="false">(1+สมมติฐาน!$B$25)*สมมติฐาน!$B$37*LOOKUP(C54,สมมติฐาน!$A$59:$A$64,สมมติฐาน!$B$59:$B$64)*สมมติฐาน!$B$34*M54</f>
        <v>166407.727536553</v>
      </c>
      <c r="Q54" s="26" t="n">
        <f aca="false">IF(AND(สมมติฐาน!$B$26&gt;0,N54&gt;=0,N54&lt;=19),สมมติฐาน!$B$26*สมมติฐาน!$B$37*LOOKUP(MAX(N54,0),สมมติฐาน!$A$59:$A$64,สมมติฐาน!$B$59:$B$64)*สมมติฐาน!$B$34*M54,0)</f>
        <v>0</v>
      </c>
      <c r="R54" s="26" t="n">
        <f aca="false">IF(AND(สมมติฐาน!$B$27&gt;0,O54&lt;=สมมติฐาน!$B$33),สมมติฐาน!$B$27*สมมติฐาน!$B$37*LOOKUP(O54,สมมติฐาน!$A$59:$A$64,สมมติฐาน!$B$59:$B$64)*สมมติฐาน!$B$34*M54,0)</f>
        <v>0</v>
      </c>
      <c r="S54" s="26" t="n">
        <f aca="false">IF(D54="รับราชการ",0,$AD$6*12*(1+สมมติฐาน!$B$42)^(A54-38-1))</f>
        <v>617204.858829266</v>
      </c>
      <c r="T54" s="26" t="n">
        <f aca="false">IF(C54=สมมติฐาน!$B$8,$AD$7,0)+IF(C54=65,$AD$9,0)+IF(C54=70,$AD$11,0)+IF(A54=57,$AD$12+$AD$13,0)</f>
        <v>0</v>
      </c>
      <c r="U54" s="26" t="n">
        <f aca="false">G54+H54+I54+J54+K54+L54+P54+Q54+R54+S54+T54</f>
        <v>783612.586365819</v>
      </c>
      <c r="V54" s="26" t="n">
        <f aca="false">U54/E54</f>
        <v>321435.377333796</v>
      </c>
      <c r="W54" s="25" t="n">
        <f aca="false">1/(1+สมมติฐาน!$B$41)^(A54-1)</f>
        <v>0.410196802509931</v>
      </c>
      <c r="X54" s="26" t="n">
        <f aca="false">V54*W54</f>
        <v>131851.763995896</v>
      </c>
    </row>
    <row r="55" customFormat="false" ht="15" hidden="false" customHeight="true" outlineLevel="0" collapsed="false">
      <c r="A55" s="20" t="n">
        <v>47</v>
      </c>
      <c r="B55" s="20" t="n">
        <f aca="false">สมมติฐาน!$B$38+A55-1</f>
        <v>2615</v>
      </c>
      <c r="C55" s="20" t="n">
        <f aca="false">สมมติฐาน!$B$7+A55-1</f>
        <v>68</v>
      </c>
      <c r="D55" s="21" t="str">
        <f aca="false">IF(C55&lt;สมมติฐาน!$B$8,"รับราชการ","รับบำนาญ")</f>
        <v>รับบำนาญ</v>
      </c>
      <c r="E55" s="22" t="n">
        <f aca="false">(1+สมมติฐาน!$B$39)^(A55-1)</f>
        <v>2.48661128940737</v>
      </c>
      <c r="F55" s="14" t="n">
        <f aca="false">IF(D55="รับราชการ",สมมติฐาน!$B$13*(1+สมมติฐาน!$B$15)^(A55-1)*E55,0)</f>
        <v>0</v>
      </c>
      <c r="G55" s="14" t="n">
        <f aca="false">F55*12</f>
        <v>0</v>
      </c>
      <c r="H55" s="14" t="n">
        <f aca="false">IF(D55="รับราชการ",IF(A55&gt;=สมมติฐาน!$B$19,สมมติฐาน!$B$18,IF(A55&gt;=สมมติฐาน!$B$17,สมมติฐาน!$B$16,0))*12*E55,0)</f>
        <v>0</v>
      </c>
      <c r="I55" s="14" t="n">
        <f aca="false">G55*สมมติฐาน!$B$21</f>
        <v>0</v>
      </c>
      <c r="J55" s="14" t="n">
        <f aca="false">IF(AND(D55="รับราชการ",A55&lt;=สมมติฐาน!$B$23),สมมติฐาน!$B$22*12*E55,0)</f>
        <v>0</v>
      </c>
      <c r="K55" s="14" t="n">
        <f aca="false">IF(AND(D55="รับราชการ",สมมติฐาน!$B$26&gt;0,A55&gt;=สมมติฐาน!$B$29,A55&lt;สมมติฐาน!$B$29+สมมติฐาน!$B$30),สมมติฐาน!$B$28*สมมติฐาน!$B$26*E55,0)</f>
        <v>0</v>
      </c>
      <c r="L55" s="14" t="n">
        <f aca="false">G55*สมมติฐาน!$B$20</f>
        <v>0</v>
      </c>
      <c r="M55" s="22" t="n">
        <f aca="false">(1+สมมติฐาน!$B$39)^(A55-1)*(1+สมมติฐาน!$B$40)^(A55-1)</f>
        <v>6.1832357046082</v>
      </c>
      <c r="N55" s="20" t="n">
        <f aca="false">A55-สมมติฐาน!$B$31</f>
        <v>37</v>
      </c>
      <c r="O55" s="20" t="n">
        <f aca="false">C55+สมมติฐาน!$B$32</f>
        <v>96</v>
      </c>
      <c r="P55" s="14" t="n">
        <f aca="false">(1+สมมติฐาน!$B$25)*สมมติฐาน!$B$37*LOOKUP(C55,สมมติฐาน!$A$59:$A$64,สมมติฐาน!$B$59:$B$64)*สมมติฐาน!$B$34*M55</f>
        <v>173130.59972903</v>
      </c>
      <c r="Q55" s="14" t="n">
        <f aca="false">IF(AND(สมมติฐาน!$B$26&gt;0,N55&gt;=0,N55&lt;=19),สมมติฐาน!$B$26*สมมติฐาน!$B$37*LOOKUP(MAX(N55,0),สมมติฐาน!$A$59:$A$64,สมมติฐาน!$B$59:$B$64)*สมมติฐาน!$B$34*M55,0)</f>
        <v>0</v>
      </c>
      <c r="R55" s="14" t="n">
        <f aca="false">IF(AND(สมมติฐาน!$B$27&gt;0,O55&lt;=สมมติฐาน!$B$33),สมมติฐาน!$B$27*สมมติฐาน!$B$37*LOOKUP(O55,สมมติฐาน!$A$59:$A$64,สมมติฐาน!$B$59:$B$64)*สมมติฐาน!$B$34*M55,0)</f>
        <v>0</v>
      </c>
      <c r="S55" s="14" t="n">
        <f aca="false">IF(D55="รับราชการ",0,$AD$6*12*(1+สมมติฐาน!$B$42)^(A55-38-1))</f>
        <v>623376.907417559</v>
      </c>
      <c r="T55" s="14" t="n">
        <f aca="false">IF(C55=สมมติฐาน!$B$8,$AD$7,0)+IF(C55=65,$AD$9,0)+IF(C55=70,$AD$11,0)+IF(A55=57,$AD$12+$AD$13,0)</f>
        <v>0</v>
      </c>
      <c r="U55" s="14" t="n">
        <f aca="false">G55+H55+I55+J55+K55+L55+P55+Q55+R55+S55+T55</f>
        <v>796507.507146589</v>
      </c>
      <c r="V55" s="14" t="n">
        <f aca="false">U55/E55</f>
        <v>320318.463339889</v>
      </c>
      <c r="W55" s="22" t="n">
        <f aca="false">1/(1+สมมติฐาน!$B$41)^(A55-1)</f>
        <v>0.402153727950912</v>
      </c>
      <c r="X55" s="14" t="n">
        <f aca="false">V55*W55</f>
        <v>128817.264163644</v>
      </c>
    </row>
    <row r="56" customFormat="false" ht="15" hidden="false" customHeight="true" outlineLevel="0" collapsed="false">
      <c r="A56" s="23" t="n">
        <v>48</v>
      </c>
      <c r="B56" s="23" t="n">
        <f aca="false">สมมติฐาน!$B$38+A56-1</f>
        <v>2616</v>
      </c>
      <c r="C56" s="23" t="n">
        <f aca="false">สมมติฐาน!$B$7+A56-1</f>
        <v>69</v>
      </c>
      <c r="D56" s="24" t="str">
        <f aca="false">IF(C56&lt;สมมติฐาน!$B$8,"รับราชการ","รับบำนาญ")</f>
        <v>รับบำนาญ</v>
      </c>
      <c r="E56" s="25" t="n">
        <f aca="false">(1+สมมติฐาน!$B$39)^(A56-1)</f>
        <v>2.53634351519552</v>
      </c>
      <c r="F56" s="26" t="n">
        <f aca="false">IF(D56="รับราชการ",สมมติฐาน!$B$13*(1+สมมติฐาน!$B$15)^(A56-1)*E56,0)</f>
        <v>0</v>
      </c>
      <c r="G56" s="26" t="n">
        <f aca="false">F56*12</f>
        <v>0</v>
      </c>
      <c r="H56" s="26" t="n">
        <f aca="false">IF(D56="รับราชการ",IF(A56&gt;=สมมติฐาน!$B$19,สมมติฐาน!$B$18,IF(A56&gt;=สมมติฐาน!$B$17,สมมติฐาน!$B$16,0))*12*E56,0)</f>
        <v>0</v>
      </c>
      <c r="I56" s="26" t="n">
        <f aca="false">G56*สมมติฐาน!$B$21</f>
        <v>0</v>
      </c>
      <c r="J56" s="26" t="n">
        <f aca="false">IF(AND(D56="รับราชการ",A56&lt;=สมมติฐาน!$B$23),สมมติฐาน!$B$22*12*E56,0)</f>
        <v>0</v>
      </c>
      <c r="K56" s="26" t="n">
        <f aca="false">IF(AND(D56="รับราชการ",สมมติฐาน!$B$26&gt;0,A56&gt;=สมมติฐาน!$B$29,A56&lt;สมมติฐาน!$B$29+สมมติฐาน!$B$30),สมมติฐาน!$B$28*สมมติฐาน!$B$26*E56,0)</f>
        <v>0</v>
      </c>
      <c r="L56" s="26" t="n">
        <f aca="false">G56*สมมติฐาน!$B$20</f>
        <v>0</v>
      </c>
      <c r="M56" s="25" t="n">
        <f aca="false">(1+สมมติฐาน!$B$39)^(A56-1)*(1+สมมติฐาน!$B$40)^(A56-1)</f>
        <v>6.43303842707437</v>
      </c>
      <c r="N56" s="23" t="n">
        <f aca="false">A56-สมมติฐาน!$B$31</f>
        <v>38</v>
      </c>
      <c r="O56" s="23" t="n">
        <f aca="false">C56+สมมติฐาน!$B$32</f>
        <v>97</v>
      </c>
      <c r="P56" s="26" t="n">
        <f aca="false">(1+สมมติฐาน!$B$25)*สมมติฐาน!$B$37*LOOKUP(C56,สมมติฐาน!$A$59:$A$64,สมมติฐาน!$B$59:$B$64)*สมมติฐาน!$B$34*M56</f>
        <v>180125.075958082</v>
      </c>
      <c r="Q56" s="26" t="n">
        <f aca="false">IF(AND(สมมติฐาน!$B$26&gt;0,N56&gt;=0,N56&lt;=19),สมมติฐาน!$B$26*สมมติฐาน!$B$37*LOOKUP(MAX(N56,0),สมมติฐาน!$A$59:$A$64,สมมติฐาน!$B$59:$B$64)*สมมติฐาน!$B$34*M56,0)</f>
        <v>0</v>
      </c>
      <c r="R56" s="26" t="n">
        <f aca="false">IF(AND(สมมติฐาน!$B$27&gt;0,O56&lt;=สมมติฐาน!$B$33),สมมติฐาน!$B$27*สมมติฐาน!$B$37*LOOKUP(O56,สมมติฐาน!$A$59:$A$64,สมมติฐาน!$B$59:$B$64)*สมมติฐาน!$B$34*M56,0)</f>
        <v>0</v>
      </c>
      <c r="S56" s="26" t="n">
        <f aca="false">IF(D56="รับราชการ",0,$AD$6*12*(1+สมมติฐาน!$B$42)^(A56-38-1))</f>
        <v>629610.676491735</v>
      </c>
      <c r="T56" s="26" t="n">
        <f aca="false">IF(C56=สมมติฐาน!$B$8,$AD$7,0)+IF(C56=65,$AD$9,0)+IF(C56=70,$AD$11,0)+IF(A56=57,$AD$12+$AD$13,0)</f>
        <v>0</v>
      </c>
      <c r="U56" s="26" t="n">
        <f aca="false">G56+H56+I56+J56+K56+L56+P56+Q56+R56+S56+T56</f>
        <v>809735.752449817</v>
      </c>
      <c r="V56" s="26" t="n">
        <f aca="false">U56/E56</f>
        <v>319253.187747874</v>
      </c>
      <c r="W56" s="25" t="n">
        <f aca="false">1/(1+สมมติฐาน!$B$41)^(A56-1)</f>
        <v>0.394268360736189</v>
      </c>
      <c r="X56" s="26" t="n">
        <f aca="false">V56*W56</f>
        <v>125871.430993157</v>
      </c>
    </row>
    <row r="57" customFormat="false" ht="15" hidden="false" customHeight="true" outlineLevel="0" collapsed="false">
      <c r="A57" s="20" t="n">
        <v>49</v>
      </c>
      <c r="B57" s="20" t="n">
        <f aca="false">สมมติฐาน!$B$38+A57-1</f>
        <v>2617</v>
      </c>
      <c r="C57" s="20" t="n">
        <f aca="false">สมมติฐาน!$B$7+A57-1</f>
        <v>70</v>
      </c>
      <c r="D57" s="21" t="str">
        <f aca="false">IF(C57&lt;สมมติฐาน!$B$8,"รับราชการ","รับบำนาญ")</f>
        <v>รับบำนาญ</v>
      </c>
      <c r="E57" s="22" t="n">
        <f aca="false">(1+สมมติฐาน!$B$39)^(A57-1)</f>
        <v>2.58707038549943</v>
      </c>
      <c r="F57" s="14" t="n">
        <f aca="false">IF(D57="รับราชการ",สมมติฐาน!$B$13*(1+สมมติฐาน!$B$15)^(A57-1)*E57,0)</f>
        <v>0</v>
      </c>
      <c r="G57" s="14" t="n">
        <f aca="false">F57*12</f>
        <v>0</v>
      </c>
      <c r="H57" s="14" t="n">
        <f aca="false">IF(D57="รับราชการ",IF(A57&gt;=สมมติฐาน!$B$19,สมมติฐาน!$B$18,IF(A57&gt;=สมมติฐาน!$B$17,สมมติฐาน!$B$16,0))*12*E57,0)</f>
        <v>0</v>
      </c>
      <c r="I57" s="14" t="n">
        <f aca="false">G57*สมมติฐาน!$B$21</f>
        <v>0</v>
      </c>
      <c r="J57" s="14" t="n">
        <f aca="false">IF(AND(D57="รับราชการ",A57&lt;=สมมติฐาน!$B$23),สมมติฐาน!$B$22*12*E57,0)</f>
        <v>0</v>
      </c>
      <c r="K57" s="14" t="n">
        <f aca="false">IF(AND(D57="รับราชการ",สมมติฐาน!$B$26&gt;0,A57&gt;=สมมติฐาน!$B$29,A57&lt;สมมติฐาน!$B$29+สมมติฐาน!$B$30),สมมติฐาน!$B$28*สมมติฐาน!$B$26*E57,0)</f>
        <v>0</v>
      </c>
      <c r="L57" s="14" t="n">
        <f aca="false">G57*สมมติฐาน!$B$20</f>
        <v>0</v>
      </c>
      <c r="M57" s="22" t="n">
        <f aca="false">(1+สมมติฐาน!$B$39)^(A57-1)*(1+สมมติฐาน!$B$40)^(A57-1)</f>
        <v>6.69293317952817</v>
      </c>
      <c r="N57" s="20" t="n">
        <f aca="false">A57-สมมติฐาน!$B$31</f>
        <v>39</v>
      </c>
      <c r="O57" s="20" t="n">
        <f aca="false">C57+สมมติฐาน!$B$32</f>
        <v>98</v>
      </c>
      <c r="P57" s="14" t="n">
        <f aca="false">(1+สมมติฐาน!$B$25)*สมมติฐาน!$B$37*LOOKUP(C57,สมมติฐาน!$A$59:$A$64,สมมติฐาน!$B$59:$B$64)*สมมติฐาน!$B$34*M57</f>
        <v>301181.993078768</v>
      </c>
      <c r="Q57" s="14" t="n">
        <f aca="false">IF(AND(สมมติฐาน!$B$26&gt;0,N57&gt;=0,N57&lt;=19),สมมติฐาน!$B$26*สมมติฐาน!$B$37*LOOKUP(MAX(N57,0),สมมติฐาน!$A$59:$A$64,สมมติฐาน!$B$59:$B$64)*สมมติฐาน!$B$34*M57,0)</f>
        <v>0</v>
      </c>
      <c r="R57" s="14" t="n">
        <f aca="false">IF(AND(สมมติฐาน!$B$27&gt;0,O57&lt;=สมมติฐาน!$B$33),สมมติฐาน!$B$27*สมมติฐาน!$B$37*LOOKUP(O57,สมมติฐาน!$A$59:$A$64,สมมติฐาน!$B$59:$B$64)*สมมติฐาน!$B$34*M57,0)</f>
        <v>0</v>
      </c>
      <c r="S57" s="14" t="n">
        <f aca="false">IF(D57="รับราชการ",0,$AD$6*12*(1+สมมติฐาน!$B$42)^(A57-38-1))</f>
        <v>635906.783256652</v>
      </c>
      <c r="T57" s="14" t="n">
        <f aca="false">IF(C57=สมมติฐาน!$B$8,$AD$7,0)+IF(C57=65,$AD$9,0)+IF(C57=70,$AD$11,0)+IF(A57=57,$AD$12+$AD$13,0)</f>
        <v>100000</v>
      </c>
      <c r="U57" s="14" t="n">
        <f aca="false">G57+H57+I57+J57+K57+L57+P57+Q57+R57+S57+T57</f>
        <v>1037088.77633542</v>
      </c>
      <c r="V57" s="14" t="n">
        <f aca="false">U57/E57</f>
        <v>400873.815474182</v>
      </c>
      <c r="W57" s="22" t="n">
        <f aca="false">1/(1+สมมติฐาน!$B$41)^(A57-1)</f>
        <v>0.386537608564891</v>
      </c>
      <c r="X57" s="14" t="n">
        <f aca="false">V57*W57</f>
        <v>154952.805969674</v>
      </c>
    </row>
    <row r="58" customFormat="false" ht="15" hidden="false" customHeight="true" outlineLevel="0" collapsed="false">
      <c r="A58" s="23" t="n">
        <v>50</v>
      </c>
      <c r="B58" s="23" t="n">
        <f aca="false">สมมติฐาน!$B$38+A58-1</f>
        <v>2618</v>
      </c>
      <c r="C58" s="23" t="n">
        <f aca="false">สมมติฐาน!$B$7+A58-1</f>
        <v>71</v>
      </c>
      <c r="D58" s="24" t="str">
        <f aca="false">IF(C58&lt;สมมติฐาน!$B$8,"รับราชการ","รับบำนาญ")</f>
        <v>รับบำนาญ</v>
      </c>
      <c r="E58" s="25" t="n">
        <f aca="false">(1+สมมติฐาน!$B$39)^(A58-1)</f>
        <v>2.63881179320942</v>
      </c>
      <c r="F58" s="26" t="n">
        <f aca="false">IF(D58="รับราชการ",สมมติฐาน!$B$13*(1+สมมติฐาน!$B$15)^(A58-1)*E58,0)</f>
        <v>0</v>
      </c>
      <c r="G58" s="26" t="n">
        <f aca="false">F58*12</f>
        <v>0</v>
      </c>
      <c r="H58" s="26" t="n">
        <f aca="false">IF(D58="รับราชการ",IF(A58&gt;=สมมติฐาน!$B$19,สมมติฐาน!$B$18,IF(A58&gt;=สมมติฐาน!$B$17,สมมติฐาน!$B$16,0))*12*E58,0)</f>
        <v>0</v>
      </c>
      <c r="I58" s="26" t="n">
        <f aca="false">G58*สมมติฐาน!$B$21</f>
        <v>0</v>
      </c>
      <c r="J58" s="26" t="n">
        <f aca="false">IF(AND(D58="รับราชการ",A58&lt;=สมมติฐาน!$B$23),สมมติฐาน!$B$22*12*E58,0)</f>
        <v>0</v>
      </c>
      <c r="K58" s="26" t="n">
        <f aca="false">IF(AND(D58="รับราชการ",สมมติฐาน!$B$26&gt;0,A58&gt;=สมมติฐาน!$B$29,A58&lt;สมมติฐาน!$B$29+สมมติฐาน!$B$30),สมมติฐาน!$B$28*สมมติฐาน!$B$26*E58,0)</f>
        <v>0</v>
      </c>
      <c r="L58" s="26" t="n">
        <f aca="false">G58*สมมติฐาน!$B$20</f>
        <v>0</v>
      </c>
      <c r="M58" s="25" t="n">
        <f aca="false">(1+สมมติฐาน!$B$39)^(A58-1)*(1+สมมติฐาน!$B$40)^(A58-1)</f>
        <v>6.96332767998111</v>
      </c>
      <c r="N58" s="23" t="n">
        <f aca="false">A58-สมมติฐาน!$B$31</f>
        <v>40</v>
      </c>
      <c r="O58" s="23" t="n">
        <f aca="false">C58+สมมติฐาน!$B$32</f>
        <v>99</v>
      </c>
      <c r="P58" s="26" t="n">
        <f aca="false">(1+สมมติฐาน!$B$25)*สมมติฐาน!$B$37*LOOKUP(C58,สมมติฐาน!$A$59:$A$64,สมมติฐาน!$B$59:$B$64)*สมมติฐาน!$B$34*M58</f>
        <v>313349.74559915</v>
      </c>
      <c r="Q58" s="26" t="n">
        <f aca="false">IF(AND(สมมติฐาน!$B$26&gt;0,N58&gt;=0,N58&lt;=19),สมมติฐาน!$B$26*สมมติฐาน!$B$37*LOOKUP(MAX(N58,0),สมมติฐาน!$A$59:$A$64,สมมติฐาน!$B$59:$B$64)*สมมติฐาน!$B$34*M58,0)</f>
        <v>0</v>
      </c>
      <c r="R58" s="26" t="n">
        <f aca="false">IF(AND(สมมติฐาน!$B$27&gt;0,O58&lt;=สมมติฐาน!$B$33),สมมติฐาน!$B$27*สมมติฐาน!$B$37*LOOKUP(O58,สมมติฐาน!$A$59:$A$64,สมมติฐาน!$B$59:$B$64)*สมมติฐาน!$B$34*M58,0)</f>
        <v>0</v>
      </c>
      <c r="S58" s="26" t="n">
        <f aca="false">IF(D58="รับราชการ",0,$AD$6*12*(1+สมมติฐาน!$B$42)^(A58-38-1))</f>
        <v>642265.851089219</v>
      </c>
      <c r="T58" s="26" t="n">
        <f aca="false">IF(C58=สมมติฐาน!$B$8,$AD$7,0)+IF(C58=65,$AD$9,0)+IF(C58=70,$AD$11,0)+IF(A58=57,$AD$12+$AD$13,0)</f>
        <v>0</v>
      </c>
      <c r="U58" s="26" t="n">
        <f aca="false">G58+H58+I58+J58+K58+L58+P58+Q58+R58+S58+T58</f>
        <v>955615.596688369</v>
      </c>
      <c r="V58" s="26" t="n">
        <f aca="false">U58/E58</f>
        <v>362138.595540425</v>
      </c>
      <c r="W58" s="25" t="n">
        <f aca="false">1/(1+สมมติฐาน!$B$41)^(A58-1)</f>
        <v>0.378958439769501</v>
      </c>
      <c r="X58" s="26" t="n">
        <f aca="false">V58*W58</f>
        <v>137235.477146318</v>
      </c>
    </row>
    <row r="59" customFormat="false" ht="15" hidden="false" customHeight="true" outlineLevel="0" collapsed="false">
      <c r="A59" s="20" t="n">
        <v>51</v>
      </c>
      <c r="B59" s="20" t="n">
        <f aca="false">สมมติฐาน!$B$38+A59-1</f>
        <v>2619</v>
      </c>
      <c r="C59" s="20" t="n">
        <f aca="false">สมมติฐาน!$B$7+A59-1</f>
        <v>72</v>
      </c>
      <c r="D59" s="21" t="str">
        <f aca="false">IF(C59&lt;สมมติฐาน!$B$8,"รับราชการ","รับบำนาญ")</f>
        <v>รับบำนาญ</v>
      </c>
      <c r="E59" s="22" t="n">
        <f aca="false">(1+สมมติฐาน!$B$39)^(A59-1)</f>
        <v>2.69158802907361</v>
      </c>
      <c r="F59" s="14" t="n">
        <f aca="false">IF(D59="รับราชการ",สมมติฐาน!$B$13*(1+สมมติฐาน!$B$15)^(A59-1)*E59,0)</f>
        <v>0</v>
      </c>
      <c r="G59" s="14" t="n">
        <f aca="false">F59*12</f>
        <v>0</v>
      </c>
      <c r="H59" s="14" t="n">
        <f aca="false">IF(D59="รับราชการ",IF(A59&gt;=สมมติฐาน!$B$19,สมมติฐาน!$B$18,IF(A59&gt;=สมมติฐาน!$B$17,สมมติฐาน!$B$16,0))*12*E59,0)</f>
        <v>0</v>
      </c>
      <c r="I59" s="14" t="n">
        <f aca="false">G59*สมมติฐาน!$B$21</f>
        <v>0</v>
      </c>
      <c r="J59" s="14" t="n">
        <f aca="false">IF(AND(D59="รับราชการ",A59&lt;=สมมติฐาน!$B$23),สมมติฐาน!$B$22*12*E59,0)</f>
        <v>0</v>
      </c>
      <c r="K59" s="14" t="n">
        <f aca="false">IF(AND(D59="รับราชการ",สมมติฐาน!$B$26&gt;0,A59&gt;=สมมติฐาน!$B$29,A59&lt;สมมติฐาน!$B$29+สมมติฐาน!$B$30),สมมติฐาน!$B$28*สมมติฐาน!$B$26*E59,0)</f>
        <v>0</v>
      </c>
      <c r="L59" s="14" t="n">
        <f aca="false">G59*สมมติฐาน!$B$20</f>
        <v>0</v>
      </c>
      <c r="M59" s="22" t="n">
        <f aca="false">(1+สมมติฐาน!$B$39)^(A59-1)*(1+สมมติฐาน!$B$40)^(A59-1)</f>
        <v>7.24464611825235</v>
      </c>
      <c r="N59" s="20" t="n">
        <f aca="false">A59-สมมติฐาน!$B$31</f>
        <v>41</v>
      </c>
      <c r="O59" s="20" t="n">
        <f aca="false">C59+สมมติฐาน!$B$32</f>
        <v>100</v>
      </c>
      <c r="P59" s="14" t="n">
        <f aca="false">(1+สมมติฐาน!$B$25)*สมมติฐาน!$B$37*LOOKUP(C59,สมมติฐาน!$A$59:$A$64,สมมติฐาน!$B$59:$B$64)*สมมติฐาน!$B$34*M59</f>
        <v>326009.075321356</v>
      </c>
      <c r="Q59" s="14" t="n">
        <f aca="false">IF(AND(สมมติฐาน!$B$26&gt;0,N59&gt;=0,N59&lt;=19),สมมติฐาน!$B$26*สมมติฐาน!$B$37*LOOKUP(MAX(N59,0),สมมติฐาน!$A$59:$A$64,สมมติฐาน!$B$59:$B$64)*สมมติฐาน!$B$34*M59,0)</f>
        <v>0</v>
      </c>
      <c r="R59" s="14" t="n">
        <f aca="false">IF(AND(สมมติฐาน!$B$27&gt;0,O59&lt;=สมมติฐาน!$B$33),สมมติฐาน!$B$27*สมมติฐาน!$B$37*LOOKUP(O59,สมมติฐาน!$A$59:$A$64,สมมติฐาน!$B$59:$B$64)*สมมติฐาน!$B$34*M59,0)</f>
        <v>0</v>
      </c>
      <c r="S59" s="14" t="n">
        <f aca="false">IF(D59="รับราชการ",0,$AD$6*12*(1+สมมติฐาน!$B$42)^(A59-38-1))</f>
        <v>648688.509600111</v>
      </c>
      <c r="T59" s="14" t="n">
        <f aca="false">IF(C59=สมมติฐาน!$B$8,$AD$7,0)+IF(C59=65,$AD$9,0)+IF(C59=70,$AD$11,0)+IF(A59=57,$AD$12+$AD$13,0)</f>
        <v>0</v>
      </c>
      <c r="U59" s="14" t="n">
        <f aca="false">G59+H59+I59+J59+K59+L59+P59+Q59+R59+S59+T59</f>
        <v>974697.584921466</v>
      </c>
      <c r="V59" s="14" t="n">
        <f aca="false">U59/E59</f>
        <v>362127.329440137</v>
      </c>
      <c r="W59" s="22" t="n">
        <f aca="false">1/(1+สมมติฐาน!$B$41)^(A59-1)</f>
        <v>0.371527882126962</v>
      </c>
      <c r="X59" s="14" t="n">
        <f aca="false">V59*W59</f>
        <v>134540.399767186</v>
      </c>
    </row>
    <row r="60" customFormat="false" ht="15" hidden="false" customHeight="true" outlineLevel="0" collapsed="false">
      <c r="A60" s="23" t="n">
        <v>52</v>
      </c>
      <c r="B60" s="23" t="n">
        <f aca="false">สมมติฐาน!$B$38+A60-1</f>
        <v>2620</v>
      </c>
      <c r="C60" s="23" t="n">
        <f aca="false">สมมติฐาน!$B$7+A60-1</f>
        <v>73</v>
      </c>
      <c r="D60" s="24" t="str">
        <f aca="false">IF(C60&lt;สมมติฐาน!$B$8,"รับราชการ","รับบำนาญ")</f>
        <v>รับบำนาญ</v>
      </c>
      <c r="E60" s="25" t="n">
        <f aca="false">(1+สมมติฐาน!$B$39)^(A60-1)</f>
        <v>2.74541978965508</v>
      </c>
      <c r="F60" s="26" t="n">
        <f aca="false">IF(D60="รับราชการ",สมมติฐาน!$B$13*(1+สมมติฐาน!$B$15)^(A60-1)*E60,0)</f>
        <v>0</v>
      </c>
      <c r="G60" s="26" t="n">
        <f aca="false">F60*12</f>
        <v>0</v>
      </c>
      <c r="H60" s="26" t="n">
        <f aca="false">IF(D60="รับราชการ",IF(A60&gt;=สมมติฐาน!$B$19,สมมติฐาน!$B$18,IF(A60&gt;=สมมติฐาน!$B$17,สมมติฐาน!$B$16,0))*12*E60,0)</f>
        <v>0</v>
      </c>
      <c r="I60" s="26" t="n">
        <f aca="false">G60*สมมติฐาน!$B$21</f>
        <v>0</v>
      </c>
      <c r="J60" s="26" t="n">
        <f aca="false">IF(AND(D60="รับราชการ",A60&lt;=สมมติฐาน!$B$23),สมมติฐาน!$B$22*12*E60,0)</f>
        <v>0</v>
      </c>
      <c r="K60" s="26" t="n">
        <f aca="false">IF(AND(D60="รับราชการ",สมมติฐาน!$B$26&gt;0,A60&gt;=สมมติฐาน!$B$29,A60&lt;สมมติฐาน!$B$29+สมมติฐาน!$B$30),สมมติฐาน!$B$28*สมมติฐาน!$B$26*E60,0)</f>
        <v>0</v>
      </c>
      <c r="L60" s="26" t="n">
        <f aca="false">G60*สมมติฐาน!$B$20</f>
        <v>0</v>
      </c>
      <c r="M60" s="25" t="n">
        <f aca="false">(1+สมมติฐาน!$B$39)^(A60-1)*(1+สมมติฐาน!$B$40)^(A60-1)</f>
        <v>7.53732982142974</v>
      </c>
      <c r="N60" s="23" t="n">
        <f aca="false">A60-สมมติฐาน!$B$31</f>
        <v>42</v>
      </c>
      <c r="O60" s="23" t="n">
        <f aca="false">C60+สมมติฐาน!$B$32</f>
        <v>101</v>
      </c>
      <c r="P60" s="26" t="n">
        <f aca="false">(1+สมมติฐาน!$B$25)*สมมติฐาน!$B$37*LOOKUP(C60,สมมติฐาน!$A$59:$A$64,สมมติฐาน!$B$59:$B$64)*สมมติฐาน!$B$34*M60</f>
        <v>339179.841964339</v>
      </c>
      <c r="Q60" s="26" t="n">
        <f aca="false">IF(AND(สมมติฐาน!$B$26&gt;0,N60&gt;=0,N60&lt;=19),สมมติฐาน!$B$26*สมมติฐาน!$B$37*LOOKUP(MAX(N60,0),สมมติฐาน!$A$59:$A$64,สมมติฐาน!$B$59:$B$64)*สมมติฐาน!$B$34*M60,0)</f>
        <v>0</v>
      </c>
      <c r="R60" s="26" t="n">
        <f aca="false">IF(AND(สมมติฐาน!$B$27&gt;0,O60&lt;=สมมติฐาน!$B$33),สมมติฐาน!$B$27*สมมติฐาน!$B$37*LOOKUP(O60,สมมติฐาน!$A$59:$A$64,สมมติฐาน!$B$59:$B$64)*สมมติฐาน!$B$34*M60,0)</f>
        <v>0</v>
      </c>
      <c r="S60" s="26" t="n">
        <f aca="false">IF(D60="รับราชการ",0,$AD$6*12*(1+สมมติฐาน!$B$42)^(A60-38-1))</f>
        <v>655175.394696112</v>
      </c>
      <c r="T60" s="26" t="n">
        <f aca="false">IF(C60=สมมติฐาน!$B$8,$AD$7,0)+IF(C60=65,$AD$9,0)+IF(C60=70,$AD$11,0)+IF(A60=57,$AD$12+$AD$13,0)</f>
        <v>0</v>
      </c>
      <c r="U60" s="26" t="n">
        <f aca="false">G60+H60+I60+J60+K60+L60+P60+Q60+R60+S60+T60</f>
        <v>994355.23666045</v>
      </c>
      <c r="V60" s="26" t="n">
        <f aca="false">U60/E60</f>
        <v>362186.95603756</v>
      </c>
      <c r="W60" s="25" t="n">
        <f aca="false">1/(1+สมมติฐาน!$B$41)^(A60-1)</f>
        <v>0.3642430216931</v>
      </c>
      <c r="X60" s="26" t="n">
        <f aca="false">V60*W60</f>
        <v>131924.071284946</v>
      </c>
    </row>
    <row r="61" customFormat="false" ht="15" hidden="false" customHeight="true" outlineLevel="0" collapsed="false">
      <c r="A61" s="20" t="n">
        <v>53</v>
      </c>
      <c r="B61" s="20" t="n">
        <f aca="false">สมมติฐาน!$B$38+A61-1</f>
        <v>2621</v>
      </c>
      <c r="C61" s="20" t="n">
        <f aca="false">สมมติฐาน!$B$7+A61-1</f>
        <v>74</v>
      </c>
      <c r="D61" s="21" t="str">
        <f aca="false">IF(C61&lt;สมมติฐาน!$B$8,"รับราชการ","รับบำนาญ")</f>
        <v>รับบำนาญ</v>
      </c>
      <c r="E61" s="22" t="n">
        <f aca="false">(1+สมมติฐาน!$B$39)^(A61-1)</f>
        <v>2.80032818544818</v>
      </c>
      <c r="F61" s="14" t="n">
        <f aca="false">IF(D61="รับราชการ",สมมติฐาน!$B$13*(1+สมมติฐาน!$B$15)^(A61-1)*E61,0)</f>
        <v>0</v>
      </c>
      <c r="G61" s="14" t="n">
        <f aca="false">F61*12</f>
        <v>0</v>
      </c>
      <c r="H61" s="14" t="n">
        <f aca="false">IF(D61="รับราชการ",IF(A61&gt;=สมมติฐาน!$B$19,สมมติฐาน!$B$18,IF(A61&gt;=สมมติฐาน!$B$17,สมมติฐาน!$B$16,0))*12*E61,0)</f>
        <v>0</v>
      </c>
      <c r="I61" s="14" t="n">
        <f aca="false">G61*สมมติฐาน!$B$21</f>
        <v>0</v>
      </c>
      <c r="J61" s="14" t="n">
        <f aca="false">IF(AND(D61="รับราชการ",A61&lt;=สมมติฐาน!$B$23),สมมติฐาน!$B$22*12*E61,0)</f>
        <v>0</v>
      </c>
      <c r="K61" s="14" t="n">
        <f aca="false">IF(AND(D61="รับราชการ",สมมติฐาน!$B$26&gt;0,A61&gt;=สมมติฐาน!$B$29,A61&lt;สมมติฐาน!$B$29+สมมติฐาน!$B$30),สมมติฐาน!$B$28*สมมติฐาน!$B$26*E61,0)</f>
        <v>0</v>
      </c>
      <c r="L61" s="14" t="n">
        <f aca="false">G61*สมมติฐาน!$B$20</f>
        <v>0</v>
      </c>
      <c r="M61" s="22" t="n">
        <f aca="false">(1+สมมติฐาน!$B$39)^(A61-1)*(1+สมมติฐาน!$B$40)^(A61-1)</f>
        <v>7.84183794621551</v>
      </c>
      <c r="N61" s="20" t="n">
        <f aca="false">A61-สมมติฐาน!$B$31</f>
        <v>43</v>
      </c>
      <c r="O61" s="20" t="n">
        <f aca="false">C61+สมมติฐาน!$B$32</f>
        <v>102</v>
      </c>
      <c r="P61" s="14" t="n">
        <f aca="false">(1+สมมติฐาน!$B$25)*สมมติฐาน!$B$37*LOOKUP(C61,สมมติฐาน!$A$59:$A$64,สมมติฐาน!$B$59:$B$64)*สมมติฐาน!$B$34*M61</f>
        <v>352882.707579698</v>
      </c>
      <c r="Q61" s="14" t="n">
        <f aca="false">IF(AND(สมมติฐาน!$B$26&gt;0,N61&gt;=0,N61&lt;=19),สมมติฐาน!$B$26*สมมติฐาน!$B$37*LOOKUP(MAX(N61,0),สมมติฐาน!$A$59:$A$64,สมมติฐาน!$B$59:$B$64)*สมมติฐาน!$B$34*M61,0)</f>
        <v>0</v>
      </c>
      <c r="R61" s="14" t="n">
        <f aca="false">IF(AND(สมมติฐาน!$B$27&gt;0,O61&lt;=สมมติฐาน!$B$33),สมมติฐาน!$B$27*สมมติฐาน!$B$37*LOOKUP(O61,สมมติฐาน!$A$59:$A$64,สมมติฐาน!$B$59:$B$64)*สมมติฐาน!$B$34*M61,0)</f>
        <v>0</v>
      </c>
      <c r="S61" s="14" t="n">
        <f aca="false">IF(D61="รับราชการ",0,$AD$6*12*(1+สมมติฐาน!$B$42)^(A61-38-1))</f>
        <v>661727.148643073</v>
      </c>
      <c r="T61" s="14" t="n">
        <f aca="false">IF(C61=สมมติฐาน!$B$8,$AD$7,0)+IF(C61=65,$AD$9,0)+IF(C61=70,$AD$11,0)+IF(A61=57,$AD$12+$AD$13,0)</f>
        <v>0</v>
      </c>
      <c r="U61" s="14" t="n">
        <f aca="false">G61+H61+I61+J61+K61+L61+P61+Q61+R61+S61+T61</f>
        <v>1014609.85622277</v>
      </c>
      <c r="V61" s="14" t="n">
        <f aca="false">U61/E61</f>
        <v>362318.19595116</v>
      </c>
      <c r="W61" s="22" t="n">
        <f aca="false">1/(1+สมมติฐาน!$B$41)^(A61-1)</f>
        <v>0.357101001659902</v>
      </c>
      <c r="X61" s="14" t="n">
        <f aca="false">V61*W61</f>
        <v>129384.190693768</v>
      </c>
    </row>
    <row r="62" customFormat="false" ht="15" hidden="false" customHeight="true" outlineLevel="0" collapsed="false">
      <c r="A62" s="23" t="n">
        <v>54</v>
      </c>
      <c r="B62" s="23" t="n">
        <f aca="false">สมมติฐาน!$B$38+A62-1</f>
        <v>2622</v>
      </c>
      <c r="C62" s="23" t="n">
        <f aca="false">สมมติฐาน!$B$7+A62-1</f>
        <v>75</v>
      </c>
      <c r="D62" s="24" t="str">
        <f aca="false">IF(C62&lt;สมมติฐาน!$B$8,"รับราชการ","รับบำนาญ")</f>
        <v>รับบำนาญ</v>
      </c>
      <c r="E62" s="25" t="n">
        <f aca="false">(1+สมมติฐาน!$B$39)^(A62-1)</f>
        <v>2.85633474915715</v>
      </c>
      <c r="F62" s="26" t="n">
        <f aca="false">IF(D62="รับราชการ",สมมติฐาน!$B$13*(1+สมมติฐาน!$B$15)^(A62-1)*E62,0)</f>
        <v>0</v>
      </c>
      <c r="G62" s="26" t="n">
        <f aca="false">F62*12</f>
        <v>0</v>
      </c>
      <c r="H62" s="26" t="n">
        <f aca="false">IF(D62="รับราชการ",IF(A62&gt;=สมมติฐาน!$B$19,สมมติฐาน!$B$18,IF(A62&gt;=สมมติฐาน!$B$17,สมมติฐาน!$B$16,0))*12*E62,0)</f>
        <v>0</v>
      </c>
      <c r="I62" s="26" t="n">
        <f aca="false">G62*สมมติฐาน!$B$21</f>
        <v>0</v>
      </c>
      <c r="J62" s="26" t="n">
        <f aca="false">IF(AND(D62="รับราชการ",A62&lt;=สมมติฐาน!$B$23),สมมติฐาน!$B$22*12*E62,0)</f>
        <v>0</v>
      </c>
      <c r="K62" s="26" t="n">
        <f aca="false">IF(AND(D62="รับราชการ",สมมติฐาน!$B$26&gt;0,A62&gt;=สมมติฐาน!$B$29,A62&lt;สมมติฐาน!$B$29+สมมติฐาน!$B$30),สมมติฐาน!$B$28*สมมติฐาน!$B$26*E62,0)</f>
        <v>0</v>
      </c>
      <c r="L62" s="26" t="n">
        <f aca="false">G62*สมมติฐาน!$B$20</f>
        <v>0</v>
      </c>
      <c r="M62" s="25" t="n">
        <f aca="false">(1+สมมติฐาน!$B$39)^(A62-1)*(1+สมมติฐาน!$B$40)^(A62-1)</f>
        <v>8.15864819924261</v>
      </c>
      <c r="N62" s="23" t="n">
        <f aca="false">A62-สมมติฐาน!$B$31</f>
        <v>44</v>
      </c>
      <c r="O62" s="23" t="n">
        <f aca="false">C62+สมมติฐาน!$B$32</f>
        <v>103</v>
      </c>
      <c r="P62" s="26" t="n">
        <f aca="false">(1+สมมติฐาน!$B$25)*สมมติฐาน!$B$37*LOOKUP(C62,สมมติฐาน!$A$59:$A$64,สมมติฐาน!$B$59:$B$64)*สมมติฐาน!$B$34*M62</f>
        <v>367139.168965918</v>
      </c>
      <c r="Q62" s="26" t="n">
        <f aca="false">IF(AND(สมมติฐาน!$B$26&gt;0,N62&gt;=0,N62&lt;=19),สมมติฐาน!$B$26*สมมติฐาน!$B$37*LOOKUP(MAX(N62,0),สมมติฐาน!$A$59:$A$64,สมมติฐาน!$B$59:$B$64)*สมมติฐาน!$B$34*M62,0)</f>
        <v>0</v>
      </c>
      <c r="R62" s="26" t="n">
        <f aca="false">IF(AND(สมมติฐาน!$B$27&gt;0,O62&lt;=สมมติฐาน!$B$33),สมมติฐาน!$B$27*สมมติฐาน!$B$37*LOOKUP(O62,สมมติฐาน!$A$59:$A$64,สมมติฐาน!$B$59:$B$64)*สมมติฐาน!$B$34*M62,0)</f>
        <v>0</v>
      </c>
      <c r="S62" s="26" t="n">
        <f aca="false">IF(D62="รับราชการ",0,$AD$6*12*(1+สมมติฐาน!$B$42)^(A62-38-1))</f>
        <v>668344.420129504</v>
      </c>
      <c r="T62" s="26" t="n">
        <f aca="false">IF(C62=สมมติฐาน!$B$8,$AD$7,0)+IF(C62=65,$AD$9,0)+IF(C62=70,$AD$11,0)+IF(A62=57,$AD$12+$AD$13,0)</f>
        <v>0</v>
      </c>
      <c r="U62" s="26" t="n">
        <f aca="false">G62+H62+I62+J62+K62+L62+P62+Q62+R62+S62+T62</f>
        <v>1035483.58909542</v>
      </c>
      <c r="V62" s="26" t="n">
        <f aca="false">U62/E62</f>
        <v>362521.791047416</v>
      </c>
      <c r="W62" s="25" t="n">
        <f aca="false">1/(1+สมมติฐาน!$B$41)^(A62-1)</f>
        <v>0.350099021235198</v>
      </c>
      <c r="X62" s="26" t="n">
        <f aca="false">V62*W62</f>
        <v>126918.524222131</v>
      </c>
    </row>
    <row r="63" customFormat="false" ht="15" hidden="false" customHeight="true" outlineLevel="0" collapsed="false">
      <c r="A63" s="20" t="n">
        <v>55</v>
      </c>
      <c r="B63" s="20" t="n">
        <f aca="false">สมมติฐาน!$B$38+A63-1</f>
        <v>2623</v>
      </c>
      <c r="C63" s="20" t="n">
        <f aca="false">สมมติฐาน!$B$7+A63-1</f>
        <v>76</v>
      </c>
      <c r="D63" s="21" t="str">
        <f aca="false">IF(C63&lt;สมมติฐาน!$B$8,"รับราชการ","รับบำนาญ")</f>
        <v>รับบำนาญ</v>
      </c>
      <c r="E63" s="22" t="n">
        <f aca="false">(1+สมมติฐาน!$B$39)^(A63-1)</f>
        <v>2.91346144414029</v>
      </c>
      <c r="F63" s="14" t="n">
        <f aca="false">IF(D63="รับราชการ",สมมติฐาน!$B$13*(1+สมมติฐาน!$B$15)^(A63-1)*E63,0)</f>
        <v>0</v>
      </c>
      <c r="G63" s="14" t="n">
        <f aca="false">F63*12</f>
        <v>0</v>
      </c>
      <c r="H63" s="14" t="n">
        <f aca="false">IF(D63="รับราชการ",IF(A63&gt;=สมมติฐาน!$B$19,สมมติฐาน!$B$18,IF(A63&gt;=สมมติฐาน!$B$17,สมมติฐาน!$B$16,0))*12*E63,0)</f>
        <v>0</v>
      </c>
      <c r="I63" s="14" t="n">
        <f aca="false">G63*สมมติฐาน!$B$21</f>
        <v>0</v>
      </c>
      <c r="J63" s="14" t="n">
        <f aca="false">IF(AND(D63="รับราชการ",A63&lt;=สมมติฐาน!$B$23),สมมติฐาน!$B$22*12*E63,0)</f>
        <v>0</v>
      </c>
      <c r="K63" s="14" t="n">
        <f aca="false">IF(AND(D63="รับราชการ",สมมติฐาน!$B$26&gt;0,A63&gt;=สมมติฐาน!$B$29,A63&lt;สมมติฐาน!$B$29+สมมติฐาน!$B$30),สมมติฐาน!$B$28*สมมติฐาน!$B$26*E63,0)</f>
        <v>0</v>
      </c>
      <c r="L63" s="14" t="n">
        <f aca="false">G63*สมมติฐาน!$B$20</f>
        <v>0</v>
      </c>
      <c r="M63" s="22" t="n">
        <f aca="false">(1+สมมติฐาน!$B$39)^(A63-1)*(1+สมมติฐาน!$B$40)^(A63-1)</f>
        <v>8.48825758649202</v>
      </c>
      <c r="N63" s="20" t="n">
        <f aca="false">A63-สมมติฐาน!$B$31</f>
        <v>45</v>
      </c>
      <c r="O63" s="20" t="n">
        <f aca="false">C63+สมมติฐาน!$B$32</f>
        <v>104</v>
      </c>
      <c r="P63" s="14" t="n">
        <f aca="false">(1+สมมติฐาน!$B$25)*สมมติฐาน!$B$37*LOOKUP(C63,สมมติฐาน!$A$59:$A$64,สมมติฐาน!$B$59:$B$64)*สมมติฐาน!$B$34*M63</f>
        <v>381971.591392141</v>
      </c>
      <c r="Q63" s="14" t="n">
        <f aca="false">IF(AND(สมมติฐาน!$B$26&gt;0,N63&gt;=0,N63&lt;=19),สมมติฐาน!$B$26*สมมติฐาน!$B$37*LOOKUP(MAX(N63,0),สมมติฐาน!$A$59:$A$64,สมมติฐาน!$B$59:$B$64)*สมมติฐาน!$B$34*M63,0)</f>
        <v>0</v>
      </c>
      <c r="R63" s="14" t="n">
        <f aca="false">IF(AND(สมมติฐาน!$B$27&gt;0,O63&lt;=สมมติฐาน!$B$33),สมมติฐาน!$B$27*สมมติฐาน!$B$37*LOOKUP(O63,สมมติฐาน!$A$59:$A$64,สมมติฐาน!$B$59:$B$64)*สมมติฐาน!$B$34*M63,0)</f>
        <v>0</v>
      </c>
      <c r="S63" s="14" t="n">
        <f aca="false">IF(D63="รับราชการ",0,$AD$6*12*(1+สมมติฐาน!$B$42)^(A63-38-1))</f>
        <v>675027.864330799</v>
      </c>
      <c r="T63" s="14" t="n">
        <f aca="false">IF(C63=สมมติฐาน!$B$8,$AD$7,0)+IF(C63=65,$AD$9,0)+IF(C63=70,$AD$11,0)+IF(A63=57,$AD$12+$AD$13,0)</f>
        <v>0</v>
      </c>
      <c r="U63" s="14" t="n">
        <f aca="false">G63+H63+I63+J63+K63+L63+P63+Q63+R63+S63+T63</f>
        <v>1056999.45572294</v>
      </c>
      <c r="V63" s="14" t="n">
        <f aca="false">U63/E63</f>
        <v>362798.504798762</v>
      </c>
      <c r="W63" s="22" t="n">
        <f aca="false">1/(1+สมมติฐาน!$B$41)^(A63-1)</f>
        <v>0.343234334544311</v>
      </c>
      <c r="X63" s="14" t="n">
        <f aca="false">V63*W63</f>
        <v>124524.903368274</v>
      </c>
    </row>
    <row r="64" customFormat="false" ht="15" hidden="false" customHeight="true" outlineLevel="0" collapsed="false">
      <c r="A64" s="23" t="n">
        <v>56</v>
      </c>
      <c r="B64" s="23" t="n">
        <f aca="false">สมมติฐาน!$B$38+A64-1</f>
        <v>2624</v>
      </c>
      <c r="C64" s="23" t="n">
        <f aca="false">สมมติฐาน!$B$7+A64-1</f>
        <v>77</v>
      </c>
      <c r="D64" s="24" t="str">
        <f aca="false">IF(C64&lt;สมมติฐาน!$B$8,"รับราชการ","รับบำนาญ")</f>
        <v>รับบำนาญ</v>
      </c>
      <c r="E64" s="25" t="n">
        <f aca="false">(1+สมมติฐาน!$B$39)^(A64-1)</f>
        <v>2.97173067302309</v>
      </c>
      <c r="F64" s="26" t="n">
        <f aca="false">IF(D64="รับราชการ",สมมติฐาน!$B$13*(1+สมมติฐาน!$B$15)^(A64-1)*E64,0)</f>
        <v>0</v>
      </c>
      <c r="G64" s="26" t="n">
        <f aca="false">F64*12</f>
        <v>0</v>
      </c>
      <c r="H64" s="26" t="n">
        <f aca="false">IF(D64="รับราชการ",IF(A64&gt;=สมมติฐาน!$B$19,สมมติฐาน!$B$18,IF(A64&gt;=สมมติฐาน!$B$17,สมมติฐาน!$B$16,0))*12*E64,0)</f>
        <v>0</v>
      </c>
      <c r="I64" s="26" t="n">
        <f aca="false">G64*สมมติฐาน!$B$21</f>
        <v>0</v>
      </c>
      <c r="J64" s="26" t="n">
        <f aca="false">IF(AND(D64="รับราชการ",A64&lt;=สมมติฐาน!$B$23),สมมติฐาน!$B$22*12*E64,0)</f>
        <v>0</v>
      </c>
      <c r="K64" s="26" t="n">
        <f aca="false">IF(AND(D64="รับราชการ",สมมติฐาน!$B$26&gt;0,A64&gt;=สมมติฐาน!$B$29,A64&lt;สมมติฐาน!$B$29+สมมติฐาน!$B$30),สมมติฐาน!$B$28*สมมติฐาน!$B$26*E64,0)</f>
        <v>0</v>
      </c>
      <c r="L64" s="26" t="n">
        <f aca="false">G64*สมมติฐาน!$B$20</f>
        <v>0</v>
      </c>
      <c r="M64" s="25" t="n">
        <f aca="false">(1+สมมติฐาน!$B$39)^(A64-1)*(1+สมมติฐาน!$B$40)^(A64-1)</f>
        <v>8.83118319298629</v>
      </c>
      <c r="N64" s="23" t="n">
        <f aca="false">A64-สมมติฐาน!$B$31</f>
        <v>46</v>
      </c>
      <c r="O64" s="23" t="n">
        <f aca="false">C64+สมมติฐาน!$B$32</f>
        <v>105</v>
      </c>
      <c r="P64" s="26" t="n">
        <f aca="false">(1+สมมติฐาน!$B$25)*สมมติฐาน!$B$37*LOOKUP(C64,สมมติฐาน!$A$59:$A$64,สมมติฐาน!$B$59:$B$64)*สมมติฐาน!$B$34*M64</f>
        <v>397403.243684383</v>
      </c>
      <c r="Q64" s="26" t="n">
        <f aca="false">IF(AND(สมมติฐาน!$B$26&gt;0,N64&gt;=0,N64&lt;=19),สมมติฐาน!$B$26*สมมติฐาน!$B$37*LOOKUP(MAX(N64,0),สมมติฐาน!$A$59:$A$64,สมมติฐาน!$B$59:$B$64)*สมมติฐาน!$B$34*M64,0)</f>
        <v>0</v>
      </c>
      <c r="R64" s="26" t="n">
        <f aca="false">IF(AND(สมมติฐาน!$B$27&gt;0,O64&lt;=สมมติฐาน!$B$33),สมมติฐาน!$B$27*สมมติฐาน!$B$37*LOOKUP(O64,สมมติฐาน!$A$59:$A$64,สมมติฐาน!$B$59:$B$64)*สมมติฐาน!$B$34*M64,0)</f>
        <v>0</v>
      </c>
      <c r="S64" s="26" t="n">
        <f aca="false">IF(D64="รับราชการ",0,$AD$6*12*(1+สมมติฐาน!$B$42)^(A64-38-1))</f>
        <v>681778.142974107</v>
      </c>
      <c r="T64" s="26" t="n">
        <f aca="false">IF(C64=สมมติฐาน!$B$8,$AD$7,0)+IF(C64=65,$AD$9,0)+IF(C64=70,$AD$11,0)+IF(A64=57,$AD$12+$AD$13,0)</f>
        <v>0</v>
      </c>
      <c r="U64" s="26" t="n">
        <f aca="false">G64+H64+I64+J64+K64+L64+P64+Q64+R64+S64+T64</f>
        <v>1079181.38665849</v>
      </c>
      <c r="V64" s="26" t="n">
        <f aca="false">U64/E64</f>
        <v>363149.122649347</v>
      </c>
      <c r="W64" s="25" t="n">
        <f aca="false">1/(1+สมมติฐาน!$B$41)^(A64-1)</f>
        <v>0.336504249553246</v>
      </c>
      <c r="X64" s="26" t="n">
        <f aca="false">V64*W64</f>
        <v>122201.222993038</v>
      </c>
    </row>
    <row r="65" customFormat="false" ht="15" hidden="false" customHeight="true" outlineLevel="0" collapsed="false">
      <c r="A65" s="20" t="n">
        <v>57</v>
      </c>
      <c r="B65" s="20" t="n">
        <f aca="false">สมมติฐาน!$B$38+A65-1</f>
        <v>2625</v>
      </c>
      <c r="C65" s="20" t="n">
        <f aca="false">สมมติฐาน!$B$7+A65-1</f>
        <v>78</v>
      </c>
      <c r="D65" s="21" t="str">
        <f aca="false">IF(C65&lt;สมมติฐาน!$B$8,"รับราชการ","รับบำนาญ")</f>
        <v>รับบำนาญ</v>
      </c>
      <c r="E65" s="22" t="n">
        <f aca="false">(1+สมมติฐาน!$B$39)^(A65-1)</f>
        <v>3.03116528648356</v>
      </c>
      <c r="F65" s="14" t="n">
        <f aca="false">IF(D65="รับราชการ",สมมติฐาน!$B$13*(1+สมมติฐาน!$B$15)^(A65-1)*E65,0)</f>
        <v>0</v>
      </c>
      <c r="G65" s="14" t="n">
        <f aca="false">F65*12</f>
        <v>0</v>
      </c>
      <c r="H65" s="14" t="n">
        <f aca="false">IF(D65="รับราชการ",IF(A65&gt;=สมมติฐาน!$B$19,สมมติฐาน!$B$18,IF(A65&gt;=สมมติฐาน!$B$17,สมมติฐาน!$B$16,0))*12*E65,0)</f>
        <v>0</v>
      </c>
      <c r="I65" s="14" t="n">
        <f aca="false">G65*สมมติฐาน!$B$21</f>
        <v>0</v>
      </c>
      <c r="J65" s="14" t="n">
        <f aca="false">IF(AND(D65="รับราชการ",A65&lt;=สมมติฐาน!$B$23),สมมติฐาน!$B$22*12*E65,0)</f>
        <v>0</v>
      </c>
      <c r="K65" s="14" t="n">
        <f aca="false">IF(AND(D65="รับราชการ",สมมติฐาน!$B$26&gt;0,A65&gt;=สมมติฐาน!$B$29,A65&lt;สมมติฐาน!$B$29+สมมติฐาน!$B$30),สมมติฐาน!$B$28*สมมติฐาน!$B$26*E65,0)</f>
        <v>0</v>
      </c>
      <c r="L65" s="14" t="n">
        <f aca="false">G65*สมมติฐาน!$B$20</f>
        <v>0</v>
      </c>
      <c r="M65" s="22" t="n">
        <f aca="false">(1+สมมติฐาน!$B$39)^(A65-1)*(1+สมมติฐาน!$B$40)^(A65-1)</f>
        <v>9.18796299398294</v>
      </c>
      <c r="N65" s="20" t="n">
        <f aca="false">A65-สมมติฐาน!$B$31</f>
        <v>47</v>
      </c>
      <c r="O65" s="20" t="n">
        <f aca="false">C65+สมมติฐาน!$B$32</f>
        <v>106</v>
      </c>
      <c r="P65" s="14" t="n">
        <f aca="false">(1+สมมติฐาน!$B$25)*สมมติฐาน!$B$37*LOOKUP(C65,สมมติฐาน!$A$59:$A$64,สมมติฐาน!$B$59:$B$64)*สมมติฐาน!$B$34*M65</f>
        <v>413458.334729232</v>
      </c>
      <c r="Q65" s="14" t="n">
        <f aca="false">IF(AND(สมมติฐาน!$B$26&gt;0,N65&gt;=0,N65&lt;=19),สมมติฐาน!$B$26*สมมติฐาน!$B$37*LOOKUP(MAX(N65,0),สมมติฐาน!$A$59:$A$64,สมมติฐาน!$B$59:$B$64)*สมมติฐาน!$B$34*M65,0)</f>
        <v>0</v>
      </c>
      <c r="R65" s="14" t="n">
        <f aca="false">IF(AND(สมมติฐาน!$B$27&gt;0,O65&lt;=สมมติฐาน!$B$33),สมมติฐาน!$B$27*สมมติฐาน!$B$37*LOOKUP(O65,สมมติฐาน!$A$59:$A$64,สมมติฐาน!$B$59:$B$64)*สมมติฐาน!$B$34*M65,0)</f>
        <v>0</v>
      </c>
      <c r="S65" s="14" t="n">
        <f aca="false">IF(D65="รับราชการ",0,$AD$6*12*(1+สมมติฐาน!$B$42)^(A65-38-1))</f>
        <v>688595.924403848</v>
      </c>
      <c r="T65" s="14" t="n">
        <f aca="false">IF(C65=สมมติฐาน!$B$8,$AD$7,0)+IF(C65=65,$AD$9,0)+IF(C65=70,$AD$11,0)+IF(A65=57,$AD$12+$AD$13,0)</f>
        <v>1083114.81702832</v>
      </c>
      <c r="U65" s="14" t="n">
        <f aca="false">G65+H65+I65+J65+K65+L65+P65+Q65+R65+S65+T65</f>
        <v>2185169.0761614</v>
      </c>
      <c r="V65" s="14" t="n">
        <f aca="false">U65/E65</f>
        <v>720900.666784953</v>
      </c>
      <c r="W65" s="22" t="n">
        <f aca="false">1/(1+สมมติฐาน!$B$41)^(A65-1)</f>
        <v>0.329906127012987</v>
      </c>
      <c r="X65" s="14" t="n">
        <f aca="false">V65*W65</f>
        <v>237829.546940104</v>
      </c>
    </row>
    <row r="66" customFormat="false" ht="15" hidden="false" customHeight="true" outlineLevel="0" collapsed="false">
      <c r="A66" s="6" t="s">
        <v>206</v>
      </c>
      <c r="G66" s="27" t="n">
        <f aca="false">SUM(G9:G65)</f>
        <v>16625423.7027371</v>
      </c>
      <c r="H66" s="27" t="n">
        <f aca="false">SUM(H9:H65)</f>
        <v>0</v>
      </c>
      <c r="I66" s="27" t="n">
        <f aca="false">SUM(I9:I65)</f>
        <v>831271.185136854</v>
      </c>
      <c r="J66" s="27" t="n">
        <f aca="false">SUM(J9:J65)</f>
        <v>0</v>
      </c>
      <c r="K66" s="27" t="n">
        <f aca="false">SUM(K9:K65)</f>
        <v>248006.808511749</v>
      </c>
      <c r="L66" s="27" t="n">
        <f aca="false">SUM(L9:L65)</f>
        <v>498762.711082112</v>
      </c>
      <c r="P66" s="27" t="n">
        <f aca="false">SUM(P9:P65)</f>
        <v>5703078.94466947</v>
      </c>
      <c r="Q66" s="27" t="n">
        <f aca="false">SUM(Q9:Q65)</f>
        <v>256244.274724933</v>
      </c>
      <c r="R66" s="27" t="n">
        <f aca="false">SUM(R9:R65)</f>
        <v>2060882.8287696</v>
      </c>
      <c r="S66" s="27" t="n">
        <f aca="false">SUM(S9:S65)</f>
        <v>11980376.8364861</v>
      </c>
      <c r="T66" s="27" t="n">
        <f aca="false">SUM(T9:T65)</f>
        <v>1583114.81702832</v>
      </c>
      <c r="U66" s="27" t="n">
        <f aca="false">SUM(U9:U65)</f>
        <v>39787162.1091462</v>
      </c>
      <c r="V66" s="27" t="n">
        <f aca="false">SUM(V9:V65)</f>
        <v>20886765.2822292</v>
      </c>
      <c r="W66" s="27" t="n">
        <f aca="false">SUM(W9:W65)</f>
        <v>34.5046936493506</v>
      </c>
      <c r="X66" s="27" t="n">
        <f aca="false">SUM(X9:X65)</f>
        <v>12017194.6593989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19" min="19" style="1" width="14"/>
    <col collapsed="false" customWidth="true" hidden="false" outlineLevel="0" max="21" min="20" style="1" width="16"/>
    <col collapsed="false" customWidth="true" hidden="false" outlineLevel="0" max="22" min="22" style="1" width="14"/>
    <col collapsed="false" customWidth="true" hidden="false" outlineLevel="0" max="23" min="23" style="1" width="9"/>
    <col collapsed="false" customWidth="true" hidden="false" outlineLevel="0" max="24" min="24" style="1" width="14"/>
    <col collapsed="false" customWidth="true" hidden="false" outlineLevel="0" max="27" min="27" style="1" width="38"/>
    <col collapsed="false" customWidth="true" hidden="false" outlineLevel="0" max="30" min="30" style="1" width="14"/>
  </cols>
  <sheetData>
    <row r="1" customFormat="false" ht="15.75" hidden="false" customHeight="true" outlineLevel="0" collapsed="false">
      <c r="A1" s="2" t="s">
        <v>207</v>
      </c>
    </row>
    <row r="2" customFormat="false" ht="15" hidden="false" customHeight="true" outlineLevel="0" collapsed="false">
      <c r="A2" s="3" t="s">
        <v>170</v>
      </c>
      <c r="AA2" s="6" t="s">
        <v>171</v>
      </c>
    </row>
    <row r="3" customFormat="false" ht="15" hidden="false" customHeight="true" outlineLevel="0" collapsed="false">
      <c r="AA3" s="7" t="s">
        <v>172</v>
      </c>
      <c r="AD3" s="14" t="n">
        <f aca="false">AVERAGE(F39:F43)</f>
        <v>92369.9671270887</v>
      </c>
    </row>
    <row r="4" customFormat="false" ht="15" hidden="false" customHeight="true" outlineLevel="0" collapsed="false">
      <c r="AA4" s="7" t="s">
        <v>173</v>
      </c>
      <c r="AD4" s="14" t="n">
        <f aca="false">MIN(AD3*สมมติฐาน!$C$10/สมมติฐาน!$B$44,AD3*สมมติฐาน!$B$43)</f>
        <v>64658.9769889621</v>
      </c>
    </row>
    <row r="5" customFormat="false" ht="15" hidden="false" customHeight="true" outlineLevel="0" collapsed="false">
      <c r="AA5" s="7" t="s">
        <v>174</v>
      </c>
      <c r="AD5" s="14" t="n">
        <f aca="false">MAX(0,สมมติฐาน!$B$45*(1+สมมติฐาน!$B$39)^(สมมติฐาน!$C$10-1)-AD4)</f>
        <v>0</v>
      </c>
    </row>
    <row r="6" customFormat="false" ht="15" hidden="false" customHeight="true" outlineLevel="0" collapsed="false">
      <c r="AA6" s="7" t="s">
        <v>175</v>
      </c>
      <c r="AD6" s="14" t="n">
        <f aca="false">AD4+AD5</f>
        <v>64658.9769889621</v>
      </c>
    </row>
    <row r="7" customFormat="false" ht="15" hidden="false" customHeight="true" outlineLevel="0" collapsed="false">
      <c r="AA7" s="7" t="s">
        <v>176</v>
      </c>
      <c r="AD7" s="14" t="n">
        <f aca="false">MIN(AD4*สมมติฐาน!$B$49,สมมติฐาน!$B$46)</f>
        <v>200000</v>
      </c>
    </row>
    <row r="8" customFormat="false" ht="43.5" hidden="false" customHeight="true" outlineLevel="0" collapsed="false">
      <c r="A8" s="8" t="s">
        <v>85</v>
      </c>
      <c r="B8" s="8" t="s">
        <v>177</v>
      </c>
      <c r="C8" s="8" t="s">
        <v>178</v>
      </c>
      <c r="D8" s="8" t="s">
        <v>179</v>
      </c>
      <c r="E8" s="8" t="s">
        <v>180</v>
      </c>
      <c r="F8" s="8" t="s">
        <v>181</v>
      </c>
      <c r="G8" s="8" t="s">
        <v>182</v>
      </c>
      <c r="H8" s="8" t="s">
        <v>183</v>
      </c>
      <c r="I8" s="8" t="s">
        <v>184</v>
      </c>
      <c r="J8" s="8" t="s">
        <v>185</v>
      </c>
      <c r="K8" s="8" t="s">
        <v>186</v>
      </c>
      <c r="L8" s="8" t="s">
        <v>187</v>
      </c>
      <c r="M8" s="8" t="s">
        <v>188</v>
      </c>
      <c r="N8" s="8" t="s">
        <v>189</v>
      </c>
      <c r="O8" s="8" t="s">
        <v>190</v>
      </c>
      <c r="P8" s="8" t="s">
        <v>191</v>
      </c>
      <c r="Q8" s="8" t="s">
        <v>192</v>
      </c>
      <c r="R8" s="8" t="s">
        <v>193</v>
      </c>
      <c r="S8" s="8" t="s">
        <v>194</v>
      </c>
      <c r="T8" s="8" t="s">
        <v>195</v>
      </c>
      <c r="U8" s="8" t="s">
        <v>196</v>
      </c>
      <c r="V8" s="8" t="s">
        <v>197</v>
      </c>
      <c r="W8" s="8" t="s">
        <v>198</v>
      </c>
      <c r="X8" s="8" t="s">
        <v>199</v>
      </c>
      <c r="AA8" s="7" t="s">
        <v>200</v>
      </c>
      <c r="AD8" s="14" t="n">
        <f aca="false">MIN(AD4*สมมติฐาน!$B$49,สมมติฐาน!$B$47)</f>
        <v>400000</v>
      </c>
    </row>
    <row r="9" customFormat="false" ht="15" hidden="false" customHeight="true" outlineLevel="0" collapsed="false">
      <c r="A9" s="20" t="n">
        <v>1</v>
      </c>
      <c r="B9" s="20" t="n">
        <f aca="false">สมมติฐาน!$B$38+A9-1</f>
        <v>2569</v>
      </c>
      <c r="C9" s="20" t="n">
        <f aca="false">สมมติฐาน!$C$7+A9-1</f>
        <v>25</v>
      </c>
      <c r="D9" s="21" t="str">
        <f aca="false">IF(C9&lt;สมมติฐาน!$C$8,"รับราชการ","รับบำนาญ")</f>
        <v>รับราชการ</v>
      </c>
      <c r="E9" s="22" t="n">
        <f aca="false">(1+สมมติฐาน!$B$39)^(A9-1)</f>
        <v>1</v>
      </c>
      <c r="F9" s="14" t="n">
        <f aca="false">IF(D9="รับราชการ",สมมติฐาน!$C$13*(1+สมมติฐาน!$C$15)^(A9-1)*E9,0)</f>
        <v>18220</v>
      </c>
      <c r="G9" s="14" t="n">
        <f aca="false">F9*12</f>
        <v>218640</v>
      </c>
      <c r="H9" s="14" t="n">
        <f aca="false">IF(D9="รับราชการ",IF(A9&gt;=สมมติฐาน!$C$19,สมมติฐาน!$C$18,IF(A9&gt;=สมมติฐาน!$C$17,สมมติฐาน!$C$16,0))*12*E9,0)</f>
        <v>0</v>
      </c>
      <c r="I9" s="14" t="n">
        <f aca="false">G9*สมมติฐาน!$C$21</f>
        <v>10932</v>
      </c>
      <c r="J9" s="14" t="n">
        <f aca="false">IF(AND(D9="รับราชการ",A9&lt;=สมมติฐาน!$C$23),สมมติฐาน!$C$22*12*E9,0)</f>
        <v>48000</v>
      </c>
      <c r="K9" s="14" t="n">
        <f aca="false">IF(AND(D9="รับราชการ",สมมติฐาน!$C$26&gt;0,A9&gt;=สมมติฐาน!$C$29,A9&lt;สมมติฐาน!$C$29+สมมติฐาน!$C$30),สมมติฐาน!$C$28*สมมติฐาน!$C$26*E9,0)</f>
        <v>0</v>
      </c>
      <c r="L9" s="14" t="n">
        <f aca="false">G9*สมมติฐาน!$C$20</f>
        <v>6559.2</v>
      </c>
      <c r="M9" s="22" t="n">
        <f aca="false">(1+สมมติฐาน!$B$39)^(A9-1)*(1+สมมติฐาน!$B$40)^(A9-1)</f>
        <v>1</v>
      </c>
      <c r="N9" s="20" t="n">
        <f aca="false">A9-สมมติฐาน!$C$31</f>
        <v>-7</v>
      </c>
      <c r="O9" s="20" t="n">
        <f aca="false">C9+สมมติฐาน!$C$32</f>
        <v>53</v>
      </c>
      <c r="P9" s="14" t="n">
        <f aca="false">(1+สมมติฐาน!$C$25)*สมมติฐาน!$B$37*LOOKUP(C9,สมมติฐาน!$A$59:$A$64,สมมติฐาน!$B$59:$B$64)*สมมติฐาน!$C$34*M9</f>
        <v>16000</v>
      </c>
      <c r="Q9" s="14" t="n">
        <f aca="false">IF(AND(สมมติฐาน!$C$26&gt;0,N9&gt;=0,N9&lt;=19),สมมติฐาน!$C$26*สมมติฐาน!$B$37*LOOKUP(MAX(N9,0),สมมติฐาน!$A$59:$A$64,สมมติฐาน!$B$59:$B$64)*สมมติฐาน!$C$34*M9,0)</f>
        <v>0</v>
      </c>
      <c r="R9" s="14" t="n">
        <f aca="false">IF(AND(สมมติฐาน!$C$27&gt;0,O9&lt;=สมมติฐาน!$C$33),สมมติฐาน!$C$27*สมมติฐาน!$B$37*LOOKUP(O9,สมมติฐาน!$A$59:$A$64,สมมติฐาน!$B$59:$B$64)*สมมติฐาน!$C$34*M9,0)</f>
        <v>28000</v>
      </c>
      <c r="S9" s="14" t="n">
        <f aca="false">IF(D9="รับราชการ",0,$AD$6*12*(1+สมมติฐาน!$B$42)^(A9-35-1))</f>
        <v>0</v>
      </c>
      <c r="T9" s="14" t="n">
        <f aca="false">IF(C9=สมมติฐาน!$C$8,$AD$7,0)+IF(C9=65,$AD$9,0)+IF(C9=70,$AD$11,0)+IF(A9=58,$AD$12+$AD$13,0)</f>
        <v>0</v>
      </c>
      <c r="U9" s="14" t="n">
        <f aca="false">G9+H9+I9+J9+K9+L9+P9+Q9+R9+S9+T9</f>
        <v>328131.2</v>
      </c>
      <c r="V9" s="14" t="n">
        <f aca="false">U9/E9</f>
        <v>328131.2</v>
      </c>
      <c r="W9" s="22" t="n">
        <f aca="false">1/(1+สมมติฐาน!$B$41)^(A9-1)</f>
        <v>1</v>
      </c>
      <c r="X9" s="14" t="n">
        <f aca="false">V9*W9</f>
        <v>328131.2</v>
      </c>
      <c r="AA9" s="7" t="s">
        <v>201</v>
      </c>
      <c r="AD9" s="14" t="n">
        <f aca="false">AD8-AD7</f>
        <v>200000</v>
      </c>
    </row>
    <row r="10" customFormat="false" ht="15" hidden="false" customHeight="true" outlineLevel="0" collapsed="false">
      <c r="A10" s="23" t="n">
        <v>2</v>
      </c>
      <c r="B10" s="23" t="n">
        <f aca="false">สมมติฐาน!$B$38+A10-1</f>
        <v>2570</v>
      </c>
      <c r="C10" s="23" t="n">
        <f aca="false">สมมติฐาน!$C$7+A10-1</f>
        <v>26</v>
      </c>
      <c r="D10" s="24" t="str">
        <f aca="false">IF(C10&lt;สมมติฐาน!$C$8,"รับราชการ","รับบำนาญ")</f>
        <v>รับราชการ</v>
      </c>
      <c r="E10" s="25" t="n">
        <f aca="false">(1+สมมติฐาน!$B$39)^(A10-1)</f>
        <v>1.02</v>
      </c>
      <c r="F10" s="26" t="n">
        <f aca="false">IF(D10="รับราชการ",สมมติฐาน!$C$13*(1+สมมติฐาน!$C$15)^(A10-1)*E10,0)</f>
        <v>19166.5646701147</v>
      </c>
      <c r="G10" s="26" t="n">
        <f aca="false">F10*12</f>
        <v>229998.776041377</v>
      </c>
      <c r="H10" s="26" t="n">
        <f aca="false">IF(D10="รับราชการ",IF(A10&gt;=สมมติฐาน!$C$19,สมมติฐาน!$C$18,IF(A10&gt;=สมมติฐาน!$C$17,สมมติฐาน!$C$16,0))*12*E10,0)</f>
        <v>0</v>
      </c>
      <c r="I10" s="26" t="n">
        <f aca="false">G10*สมมติฐาน!$C$21</f>
        <v>11499.9388020688</v>
      </c>
      <c r="J10" s="26" t="n">
        <f aca="false">IF(AND(D10="รับราชการ",A10&lt;=สมมติฐาน!$C$23),สมมติฐาน!$C$22*12*E10,0)</f>
        <v>48960</v>
      </c>
      <c r="K10" s="26" t="n">
        <f aca="false">IF(AND(D10="รับราชการ",สมมติฐาน!$C$26&gt;0,A10&gt;=สมมติฐาน!$C$29,A10&lt;สมมติฐาน!$C$29+สมมติฐาน!$C$30),สมมติฐาน!$C$28*สมมติฐาน!$C$26*E10,0)</f>
        <v>0</v>
      </c>
      <c r="L10" s="26" t="n">
        <f aca="false">G10*สมมติฐาน!$C$20</f>
        <v>6899.9632812413</v>
      </c>
      <c r="M10" s="25" t="n">
        <f aca="false">(1+สมมติฐาน!$B$39)^(A10-1)*(1+สมมติฐาน!$B$40)^(A10-1)</f>
        <v>1.0404</v>
      </c>
      <c r="N10" s="23" t="n">
        <f aca="false">A10-สมมติฐาน!$C$31</f>
        <v>-6</v>
      </c>
      <c r="O10" s="23" t="n">
        <f aca="false">C10+สมมติฐาน!$C$32</f>
        <v>54</v>
      </c>
      <c r="P10" s="26" t="n">
        <f aca="false">(1+สมมติฐาน!$C$25)*สมมติฐาน!$B$37*LOOKUP(C10,สมมติฐาน!$A$59:$A$64,สมมติฐาน!$B$59:$B$64)*สมมติฐาน!$C$34*M10</f>
        <v>16646.4</v>
      </c>
      <c r="Q10" s="26" t="n">
        <f aca="false">IF(AND(สมมติฐาน!$C$26&gt;0,N10&gt;=0,N10&lt;=19),สมมติฐาน!$C$26*สมมติฐาน!$B$37*LOOKUP(MAX(N10,0),สมมติฐาน!$A$59:$A$64,สมมติฐาน!$B$59:$B$64)*สมมติฐาน!$C$34*M10,0)</f>
        <v>0</v>
      </c>
      <c r="R10" s="26" t="n">
        <f aca="false">IF(AND(สมมติฐาน!$C$27&gt;0,O10&lt;=สมมติฐาน!$C$33),สมมติฐาน!$C$27*สมมติฐาน!$B$37*LOOKUP(O10,สมมติฐาน!$A$59:$A$64,สมมติฐาน!$B$59:$B$64)*สมมติฐาน!$C$34*M10,0)</f>
        <v>29131.2</v>
      </c>
      <c r="S10" s="26" t="n">
        <f aca="false">IF(D10="รับราชการ",0,$AD$6*12*(1+สมมติฐาน!$B$42)^(A10-35-1))</f>
        <v>0</v>
      </c>
      <c r="T10" s="26" t="n">
        <f aca="false">IF(C10=สมมติฐาน!$C$8,$AD$7,0)+IF(C10=65,$AD$9,0)+IF(C10=70,$AD$11,0)+IF(A10=58,$AD$12+$AD$13,0)</f>
        <v>0</v>
      </c>
      <c r="U10" s="26" t="n">
        <f aca="false">G10+H10+I10+J10+K10+L10+P10+Q10+R10+S10+T10</f>
        <v>343136.278124687</v>
      </c>
      <c r="V10" s="26" t="n">
        <f aca="false">U10/E10</f>
        <v>336408.115808517</v>
      </c>
      <c r="W10" s="25" t="n">
        <f aca="false">1/(1+สมมติฐาน!$B$41)^(A10-1)</f>
        <v>0.980392156862745</v>
      </c>
      <c r="X10" s="26" t="n">
        <f aca="false">V10*W10</f>
        <v>329811.878243644</v>
      </c>
      <c r="AA10" s="7" t="s">
        <v>202</v>
      </c>
      <c r="AD10" s="14" t="n">
        <f aca="false">MIN(AD4*สมมติฐาน!$B$49,สมมติฐาน!$B$48)</f>
        <v>500000</v>
      </c>
    </row>
    <row r="11" customFormat="false" ht="15" hidden="false" customHeight="true" outlineLevel="0" collapsed="false">
      <c r="A11" s="20" t="n">
        <v>3</v>
      </c>
      <c r="B11" s="20" t="n">
        <f aca="false">สมมติฐาน!$B$38+A11-1</f>
        <v>2571</v>
      </c>
      <c r="C11" s="20" t="n">
        <f aca="false">สมมติฐาน!$C$7+A11-1</f>
        <v>27</v>
      </c>
      <c r="D11" s="21" t="str">
        <f aca="false">IF(C11&lt;สมมติฐาน!$C$8,"รับราชการ","รับบำนาญ")</f>
        <v>รับราชการ</v>
      </c>
      <c r="E11" s="22" t="n">
        <f aca="false">(1+สมมติฐาน!$B$39)^(A11-1)</f>
        <v>1.0404</v>
      </c>
      <c r="F11" s="14" t="n">
        <f aca="false">IF(D11="รับราชการ",สมมติฐาน!$C$13*(1+สมมติฐาน!$C$15)^(A11-1)*E11,0)</f>
        <v>20162.3052279742</v>
      </c>
      <c r="G11" s="14" t="n">
        <f aca="false">F11*12</f>
        <v>241947.662735691</v>
      </c>
      <c r="H11" s="14" t="n">
        <f aca="false">IF(D11="รับราชการ",IF(A11&gt;=สมมติฐาน!$C$19,สมมติฐาน!$C$18,IF(A11&gt;=สมมติฐาน!$C$17,สมมติฐาน!$C$16,0))*12*E11,0)</f>
        <v>0</v>
      </c>
      <c r="I11" s="14" t="n">
        <f aca="false">G11*สมมติฐาน!$C$21</f>
        <v>12097.3831367845</v>
      </c>
      <c r="J11" s="14" t="n">
        <f aca="false">IF(AND(D11="รับราชการ",A11&lt;=สมมติฐาน!$C$23),สมมติฐาน!$C$22*12*E11,0)</f>
        <v>49939.2</v>
      </c>
      <c r="K11" s="14" t="n">
        <f aca="false">IF(AND(D11="รับราชการ",สมมติฐาน!$C$26&gt;0,A11&gt;=สมมติฐาน!$C$29,A11&lt;สมมติฐาน!$C$29+สมมติฐาน!$C$30),สมมติฐาน!$C$28*สมมติฐาน!$C$26*E11,0)</f>
        <v>0</v>
      </c>
      <c r="L11" s="14" t="n">
        <f aca="false">G11*สมมติฐาน!$C$20</f>
        <v>7258.42988207072</v>
      </c>
      <c r="M11" s="22" t="n">
        <f aca="false">(1+สมมติฐาน!$B$39)^(A11-1)*(1+สมมติฐาน!$B$40)^(A11-1)</f>
        <v>1.08243216</v>
      </c>
      <c r="N11" s="20" t="n">
        <f aca="false">A11-สมมติฐาน!$C$31</f>
        <v>-5</v>
      </c>
      <c r="O11" s="20" t="n">
        <f aca="false">C11+สมมติฐาน!$C$32</f>
        <v>55</v>
      </c>
      <c r="P11" s="14" t="n">
        <f aca="false">(1+สมมติฐาน!$C$25)*สมมติฐาน!$B$37*LOOKUP(C11,สมมติฐาน!$A$59:$A$64,สมมติฐาน!$B$59:$B$64)*สมมติฐาน!$C$34*M11</f>
        <v>17318.91456</v>
      </c>
      <c r="Q11" s="14" t="n">
        <f aca="false">IF(AND(สมมติฐาน!$C$26&gt;0,N11&gt;=0,N11&lt;=19),สมมติฐาน!$C$26*สมมติฐาน!$B$37*LOOKUP(MAX(N11,0),สมมติฐาน!$A$59:$A$64,สมมติฐาน!$B$59:$B$64)*สมมติฐาน!$C$34*M11,0)</f>
        <v>0</v>
      </c>
      <c r="R11" s="14" t="n">
        <f aca="false">IF(AND(สมมติฐาน!$C$27&gt;0,O11&lt;=สมมติฐาน!$C$33),สมมติฐาน!$C$27*สมมติฐาน!$B$37*LOOKUP(O11,สมมติฐาน!$A$59:$A$64,สมมติฐาน!$B$59:$B$64)*สมมติฐาน!$C$34*M11,0)</f>
        <v>30308.10048</v>
      </c>
      <c r="S11" s="14" t="n">
        <f aca="false">IF(D11="รับราชการ",0,$AD$6*12*(1+สมมติฐาน!$B$42)^(A11-35-1))</f>
        <v>0</v>
      </c>
      <c r="T11" s="14" t="n">
        <f aca="false">IF(C11=สมมติฐาน!$C$8,$AD$7,0)+IF(C11=65,$AD$9,0)+IF(C11=70,$AD$11,0)+IF(A11=58,$AD$12+$AD$13,0)</f>
        <v>0</v>
      </c>
      <c r="U11" s="14" t="n">
        <f aca="false">G11+H11+I11+J11+K11+L11+P11+Q11+R11+S11+T11</f>
        <v>358869.690794546</v>
      </c>
      <c r="V11" s="14" t="n">
        <f aca="false">U11/E11</f>
        <v>344934.343324246</v>
      </c>
      <c r="W11" s="22" t="n">
        <f aca="false">1/(1+สมมติฐาน!$B$41)^(A11-1)</f>
        <v>0.961168781237985</v>
      </c>
      <c r="X11" s="14" t="n">
        <f aca="false">V11*W11</f>
        <v>331540.122380091</v>
      </c>
      <c r="AA11" s="7" t="s">
        <v>203</v>
      </c>
      <c r="AD11" s="14" t="n">
        <f aca="false">AD10-AD8</f>
        <v>100000</v>
      </c>
    </row>
    <row r="12" customFormat="false" ht="15" hidden="false" customHeight="true" outlineLevel="0" collapsed="false">
      <c r="A12" s="23" t="n">
        <v>4</v>
      </c>
      <c r="B12" s="23" t="n">
        <f aca="false">สมมติฐาน!$B$38+A12-1</f>
        <v>2572</v>
      </c>
      <c r="C12" s="23" t="n">
        <f aca="false">สมมติฐาน!$C$7+A12-1</f>
        <v>28</v>
      </c>
      <c r="D12" s="24" t="str">
        <f aca="false">IF(C12&lt;สมมติฐาน!$C$8,"รับราชการ","รับบำนาญ")</f>
        <v>รับราชการ</v>
      </c>
      <c r="E12" s="25" t="n">
        <f aca="false">(1+สมมติฐาน!$B$39)^(A12-1)</f>
        <v>1.061208</v>
      </c>
      <c r="F12" s="26" t="n">
        <f aca="false">IF(D12="รับราชการ",สมมติฐาน!$C$13*(1+สมมติฐาน!$C$15)^(A12-1)*E12,0)</f>
        <v>21209.7764572207</v>
      </c>
      <c r="G12" s="26" t="n">
        <f aca="false">F12*12</f>
        <v>254517.317486648</v>
      </c>
      <c r="H12" s="26" t="n">
        <f aca="false">IF(D12="รับราชการ",IF(A12&gt;=สมมติฐาน!$C$19,สมมติฐาน!$C$18,IF(A12&gt;=สมมติฐาน!$C$17,สมมติฐาน!$C$16,0))*12*E12,0)</f>
        <v>0</v>
      </c>
      <c r="I12" s="26" t="n">
        <f aca="false">G12*สมมติฐาน!$C$21</f>
        <v>12725.8658743324</v>
      </c>
      <c r="J12" s="26" t="n">
        <f aca="false">IF(AND(D12="รับราชการ",A12&lt;=สมมติฐาน!$C$23),สมมติฐาน!$C$22*12*E12,0)</f>
        <v>50937.984</v>
      </c>
      <c r="K12" s="26" t="n">
        <f aca="false">IF(AND(D12="รับราชการ",สมมติฐาน!$C$26&gt;0,A12&gt;=สมมติฐาน!$C$29,A12&lt;สมมติฐาน!$C$29+สมมติฐาน!$C$30),สมมติฐาน!$C$28*สมมติฐาน!$C$26*E12,0)</f>
        <v>0</v>
      </c>
      <c r="L12" s="26" t="n">
        <f aca="false">G12*สมมติฐาน!$C$20</f>
        <v>7635.51952459943</v>
      </c>
      <c r="M12" s="25" t="n">
        <f aca="false">(1+สมมติฐาน!$B$39)^(A12-1)*(1+สมมติฐาน!$B$40)^(A12-1)</f>
        <v>1.126162419264</v>
      </c>
      <c r="N12" s="23" t="n">
        <f aca="false">A12-สมมติฐาน!$C$31</f>
        <v>-4</v>
      </c>
      <c r="O12" s="23" t="n">
        <f aca="false">C12+สมมติฐาน!$C$32</f>
        <v>56</v>
      </c>
      <c r="P12" s="26" t="n">
        <f aca="false">(1+สมมติฐาน!$C$25)*สมมติฐาน!$B$37*LOOKUP(C12,สมมติฐาน!$A$59:$A$64,สมมติฐาน!$B$59:$B$64)*สมมติฐาน!$C$34*M12</f>
        <v>18018.598708224</v>
      </c>
      <c r="Q12" s="26" t="n">
        <f aca="false">IF(AND(สมมติฐาน!$C$26&gt;0,N12&gt;=0,N12&lt;=19),สมมติฐาน!$C$26*สมมติฐาน!$B$37*LOOKUP(MAX(N12,0),สมมติฐาน!$A$59:$A$64,สมมติฐาน!$B$59:$B$64)*สมมติฐาน!$C$34*M12,0)</f>
        <v>0</v>
      </c>
      <c r="R12" s="26" t="n">
        <f aca="false">IF(AND(สมมติฐาน!$C$27&gt;0,O12&lt;=สมมติฐาน!$C$33),สมมติฐาน!$C$27*สมมติฐาน!$B$37*LOOKUP(O12,สมมติฐาน!$A$59:$A$64,สมมติฐาน!$B$59:$B$64)*สมมติฐาน!$C$34*M12,0)</f>
        <v>31532.547739392</v>
      </c>
      <c r="S12" s="26" t="n">
        <f aca="false">IF(D12="รับราชการ",0,$AD$6*12*(1+สมมติฐาน!$B$42)^(A12-35-1))</f>
        <v>0</v>
      </c>
      <c r="T12" s="26" t="n">
        <f aca="false">IF(C12=สมมติฐาน!$C$8,$AD$7,0)+IF(C12=65,$AD$9,0)+IF(C12=70,$AD$11,0)+IF(A12=58,$AD$12+$AD$13,0)</f>
        <v>0</v>
      </c>
      <c r="U12" s="26" t="n">
        <f aca="false">G12+H12+I12+J12+K12+L12+P12+Q12+R12+S12+T12</f>
        <v>375367.833333196</v>
      </c>
      <c r="V12" s="26" t="n">
        <f aca="false">U12/E12</f>
        <v>353717.493020403</v>
      </c>
      <c r="W12" s="25" t="n">
        <f aca="false">1/(1+สมมติฐาน!$B$41)^(A12-1)</f>
        <v>0.942322334547044</v>
      </c>
      <c r="X12" s="26" t="n">
        <f aca="false">V12*W12</f>
        <v>333315.893793114</v>
      </c>
      <c r="AA12" s="7" t="s">
        <v>204</v>
      </c>
      <c r="AD12" s="14" t="n">
        <f aca="false">MAX(0,AD6*สมมติฐาน!$B$50-AD10)</f>
        <v>1439769.30966886</v>
      </c>
    </row>
    <row r="13" customFormat="false" ht="15" hidden="false" customHeight="true" outlineLevel="0" collapsed="false">
      <c r="A13" s="20" t="n">
        <v>5</v>
      </c>
      <c r="B13" s="20" t="n">
        <f aca="false">สมมติฐาน!$B$38+A13-1</f>
        <v>2573</v>
      </c>
      <c r="C13" s="20" t="n">
        <f aca="false">สมมติฐาน!$C$7+A13-1</f>
        <v>29</v>
      </c>
      <c r="D13" s="21" t="str">
        <f aca="false">IF(C13&lt;สมมติฐาน!$C$8,"รับราชการ","รับบำนาญ")</f>
        <v>รับราชการ</v>
      </c>
      <c r="E13" s="22" t="n">
        <f aca="false">(1+สมมติฐาน!$B$39)^(A13-1)</f>
        <v>1.08243216</v>
      </c>
      <c r="F13" s="14" t="n">
        <f aca="false">IF(D13="รับราชการ",สมมติฐาน!$C$13*(1+สมมติฐาน!$C$15)^(A13-1)*E13,0)</f>
        <v>22311.665867508</v>
      </c>
      <c r="G13" s="14" t="n">
        <f aca="false">F13*12</f>
        <v>267739.990410097</v>
      </c>
      <c r="H13" s="14" t="n">
        <f aca="false">IF(D13="รับราชการ",IF(A13&gt;=สมมติฐาน!$C$19,สมมติฐาน!$C$18,IF(A13&gt;=สมมติฐาน!$C$17,สมมติฐาน!$C$16,0))*12*E13,0)</f>
        <v>0</v>
      </c>
      <c r="I13" s="14" t="n">
        <f aca="false">G13*สมมติฐาน!$C$21</f>
        <v>13386.9995205048</v>
      </c>
      <c r="J13" s="14" t="n">
        <f aca="false">IF(AND(D13="รับราชการ",A13&lt;=สมมติฐาน!$C$23),สมมติฐาน!$C$22*12*E13,0)</f>
        <v>51956.74368</v>
      </c>
      <c r="K13" s="14" t="n">
        <f aca="false">IF(AND(D13="รับราชการ",สมมติฐาน!$C$26&gt;0,A13&gt;=สมมติฐาน!$C$29,A13&lt;สมมติฐาน!$C$29+สมมติฐาน!$C$30),สมมติฐาน!$C$28*สมมติฐาน!$C$26*E13,0)</f>
        <v>0</v>
      </c>
      <c r="L13" s="14" t="n">
        <f aca="false">G13*สมมติฐาน!$C$20</f>
        <v>8032.19971230289</v>
      </c>
      <c r="M13" s="22" t="n">
        <f aca="false">(1+สมมติฐาน!$B$39)^(A13-1)*(1+สมมติฐาน!$B$40)^(A13-1)</f>
        <v>1.17165938100227</v>
      </c>
      <c r="N13" s="20" t="n">
        <f aca="false">A13-สมมติฐาน!$C$31</f>
        <v>-3</v>
      </c>
      <c r="O13" s="20" t="n">
        <f aca="false">C13+สมมติฐาน!$C$32</f>
        <v>57</v>
      </c>
      <c r="P13" s="14" t="n">
        <f aca="false">(1+สมมติฐาน!$C$25)*สมมติฐาน!$B$37*LOOKUP(C13,สมมติฐาน!$A$59:$A$64,สมมติฐาน!$B$59:$B$64)*สมมติฐาน!$C$34*M13</f>
        <v>18746.5500960362</v>
      </c>
      <c r="Q13" s="14" t="n">
        <f aca="false">IF(AND(สมมติฐาน!$C$26&gt;0,N13&gt;=0,N13&lt;=19),สมมติฐาน!$C$26*สมมติฐาน!$B$37*LOOKUP(MAX(N13,0),สมมติฐาน!$A$59:$A$64,สมมติฐาน!$B$59:$B$64)*สมมติฐาน!$C$34*M13,0)</f>
        <v>0</v>
      </c>
      <c r="R13" s="14" t="n">
        <f aca="false">IF(AND(สมมติฐาน!$C$27&gt;0,O13&lt;=สมมติฐาน!$C$33),สมมติฐาน!$C$27*สมมติฐาน!$B$37*LOOKUP(O13,สมมติฐาน!$A$59:$A$64,สมมติฐาน!$B$59:$B$64)*สมมติฐาน!$C$34*M13,0)</f>
        <v>32806.4626680634</v>
      </c>
      <c r="S13" s="14" t="n">
        <f aca="false">IF(D13="รับราชการ",0,$AD$6*12*(1+สมมติฐาน!$B$42)^(A13-35-1))</f>
        <v>0</v>
      </c>
      <c r="T13" s="14" t="n">
        <f aca="false">IF(C13=สมมติฐาน!$C$8,$AD$7,0)+IF(C13=65,$AD$9,0)+IF(C13=70,$AD$11,0)+IF(A13=58,$AD$12+$AD$13,0)</f>
        <v>0</v>
      </c>
      <c r="U13" s="14" t="n">
        <f aca="false">G13+H13+I13+J13+K13+L13+P13+Q13+R13+S13+T13</f>
        <v>392668.946087004</v>
      </c>
      <c r="V13" s="14" t="n">
        <f aca="false">U13/E13</f>
        <v>362765.40978513</v>
      </c>
      <c r="W13" s="22" t="n">
        <f aca="false">1/(1+สมมติฐาน!$B$41)^(A13-1)</f>
        <v>0.923845426026514</v>
      </c>
      <c r="X13" s="14" t="n">
        <f aca="false">V13*W13</f>
        <v>335139.164550627</v>
      </c>
      <c r="AA13" s="7" t="s">
        <v>205</v>
      </c>
      <c r="AD13" s="14" t="n">
        <f aca="false">AD6*สมมติฐาน!$B$51</f>
        <v>193976.930966886</v>
      </c>
    </row>
    <row r="14" customFormat="false" ht="15" hidden="false" customHeight="true" outlineLevel="0" collapsed="false">
      <c r="A14" s="23" t="n">
        <v>6</v>
      </c>
      <c r="B14" s="23" t="n">
        <f aca="false">สมมติฐาน!$B$38+A14-1</f>
        <v>2574</v>
      </c>
      <c r="C14" s="23" t="n">
        <f aca="false">สมมติฐาน!$C$7+A14-1</f>
        <v>30</v>
      </c>
      <c r="D14" s="24" t="str">
        <f aca="false">IF(C14&lt;สมมติฐาน!$C$8,"รับราชการ","รับบำนาญ")</f>
        <v>รับราชการ</v>
      </c>
      <c r="E14" s="25" t="n">
        <f aca="false">(1+สมมติฐาน!$B$39)^(A14-1)</f>
        <v>1.1040808032</v>
      </c>
      <c r="F14" s="26" t="n">
        <f aca="false">IF(D14="รับราชการ",สมมติฐาน!$C$13*(1+สมมติฐาน!$C$15)^(A14-1)*E14,0)</f>
        <v>23470.8005898784</v>
      </c>
      <c r="G14" s="26" t="n">
        <f aca="false">F14*12</f>
        <v>281649.607078541</v>
      </c>
      <c r="H14" s="26" t="n">
        <f aca="false">IF(D14="รับราชการ",IF(A14&gt;=สมมติฐาน!$C$19,สมมติฐาน!$C$18,IF(A14&gt;=สมมติฐาน!$C$17,สมมติฐาน!$C$16,0))*12*E14,0)</f>
        <v>0</v>
      </c>
      <c r="I14" s="26" t="n">
        <f aca="false">G14*สมมติฐาน!$C$21</f>
        <v>14082.480353927</v>
      </c>
      <c r="J14" s="26" t="n">
        <f aca="false">IF(AND(D14="รับราชการ",A14&lt;=สมมติฐาน!$C$23),สมมติฐาน!$C$22*12*E14,0)</f>
        <v>52995.8785536</v>
      </c>
      <c r="K14" s="26" t="n">
        <f aca="false">IF(AND(D14="รับราชการ",สมมติฐาน!$C$26&gt;0,A14&gt;=สมมติฐาน!$C$29,A14&lt;สมมติฐาน!$C$29+สมมติฐาน!$C$30),สมมติฐาน!$C$28*สมมติฐาน!$C$26*E14,0)</f>
        <v>0</v>
      </c>
      <c r="L14" s="26" t="n">
        <f aca="false">G14*สมมติฐาน!$C$20</f>
        <v>8449.48821235622</v>
      </c>
      <c r="M14" s="25" t="n">
        <f aca="false">(1+สมมติฐาน!$B$39)^(A14-1)*(1+สมมติฐาน!$B$40)^(A14-1)</f>
        <v>1.21899441999476</v>
      </c>
      <c r="N14" s="23" t="n">
        <f aca="false">A14-สมมติฐาน!$C$31</f>
        <v>-2</v>
      </c>
      <c r="O14" s="23" t="n">
        <f aca="false">C14+สมมติฐาน!$C$32</f>
        <v>58</v>
      </c>
      <c r="P14" s="26" t="n">
        <f aca="false">(1+สมมติฐาน!$C$25)*สมมติฐาน!$B$37*LOOKUP(C14,สมมติฐาน!$A$59:$A$64,สมมติฐาน!$B$59:$B$64)*สมมติฐาน!$C$34*M14</f>
        <v>19503.9107199161</v>
      </c>
      <c r="Q14" s="26" t="n">
        <f aca="false">IF(AND(สมมติฐาน!$C$26&gt;0,N14&gt;=0,N14&lt;=19),สมมติฐาน!$C$26*สมมติฐาน!$B$37*LOOKUP(MAX(N14,0),สมมติฐาน!$A$59:$A$64,สมมติฐาน!$B$59:$B$64)*สมมติฐาน!$C$34*M14,0)</f>
        <v>0</v>
      </c>
      <c r="R14" s="26" t="n">
        <f aca="false">IF(AND(สมมติฐาน!$C$27&gt;0,O14&lt;=สมมติฐาน!$C$33),สมมติฐาน!$C$27*สมมติฐาน!$B$37*LOOKUP(O14,สมมติฐาน!$A$59:$A$64,สมมติฐาน!$B$59:$B$64)*สมมติฐาน!$C$34*M14,0)</f>
        <v>34131.8437598532</v>
      </c>
      <c r="S14" s="26" t="n">
        <f aca="false">IF(D14="รับราชการ",0,$AD$6*12*(1+สมมติฐาน!$B$42)^(A14-35-1))</f>
        <v>0</v>
      </c>
      <c r="T14" s="26" t="n">
        <f aca="false">IF(C14=สมมติฐาน!$C$8,$AD$7,0)+IF(C14=65,$AD$9,0)+IF(C14=70,$AD$11,0)+IF(A14=58,$AD$12+$AD$13,0)</f>
        <v>0</v>
      </c>
      <c r="U14" s="26" t="n">
        <f aca="false">G14+H14+I14+J14+K14+L14+P14+Q14+R14+S14+T14</f>
        <v>410813.208678193</v>
      </c>
      <c r="V14" s="26" t="n">
        <f aca="false">U14/E14</f>
        <v>372086.180184926</v>
      </c>
      <c r="W14" s="25" t="n">
        <f aca="false">1/(1+สมมติฐาน!$B$41)^(A14-1)</f>
        <v>0.905730809829916</v>
      </c>
      <c r="X14" s="26" t="n">
        <f aca="false">V14*W14</f>
        <v>337009.917305413</v>
      </c>
    </row>
    <row r="15" customFormat="false" ht="15" hidden="false" customHeight="true" outlineLevel="0" collapsed="false">
      <c r="A15" s="20" t="n">
        <v>7</v>
      </c>
      <c r="B15" s="20" t="n">
        <f aca="false">สมมติฐาน!$B$38+A15-1</f>
        <v>2575</v>
      </c>
      <c r="C15" s="20" t="n">
        <f aca="false">สมมติฐาน!$C$7+A15-1</f>
        <v>31</v>
      </c>
      <c r="D15" s="21" t="str">
        <f aca="false">IF(C15&lt;สมมติฐาน!$C$8,"รับราชการ","รับบำนาญ")</f>
        <v>รับราชการ</v>
      </c>
      <c r="E15" s="22" t="n">
        <f aca="false">(1+สมมติฐาน!$B$39)^(A15-1)</f>
        <v>1.126162419264</v>
      </c>
      <c r="F15" s="14" t="n">
        <f aca="false">IF(D15="รับราชการ",สมมติฐาน!$C$13*(1+สมมติฐาน!$C$15)^(A15-1)*E15,0)</f>
        <v>24690.1546303661</v>
      </c>
      <c r="G15" s="14" t="n">
        <f aca="false">F15*12</f>
        <v>296281.855564394</v>
      </c>
      <c r="H15" s="14" t="n">
        <f aca="false">IF(D15="รับราชการ",IF(A15&gt;=สมมติฐาน!$C$19,สมมติฐาน!$C$18,IF(A15&gt;=สมมติฐาน!$C$17,สมมติฐาน!$C$16,0))*12*E15,0)</f>
        <v>0</v>
      </c>
      <c r="I15" s="14" t="n">
        <f aca="false">G15*สมมติฐาน!$C$21</f>
        <v>14814.0927782197</v>
      </c>
      <c r="J15" s="14" t="n">
        <f aca="false">IF(AND(D15="รับราชการ",A15&lt;=สมมติฐาน!$C$23),สมมติฐาน!$C$22*12*E15,0)</f>
        <v>54055.796124672</v>
      </c>
      <c r="K15" s="14" t="n">
        <f aca="false">IF(AND(D15="รับราชการ",สมมติฐาน!$C$26&gt;0,A15&gt;=สมมติฐาน!$C$29,A15&lt;สมมติฐาน!$C$29+สมมติฐาน!$C$30),สมมติฐาน!$C$28*สมมติฐาน!$C$26*E15,0)</f>
        <v>0</v>
      </c>
      <c r="L15" s="14" t="n">
        <f aca="false">G15*สมมติฐาน!$C$20</f>
        <v>8888.45566693181</v>
      </c>
      <c r="M15" s="22" t="n">
        <f aca="false">(1+สมมติฐาน!$B$39)^(A15-1)*(1+สมมติฐาน!$B$40)^(A15-1)</f>
        <v>1.26824179456255</v>
      </c>
      <c r="N15" s="20" t="n">
        <f aca="false">A15-สมมติฐาน!$C$31</f>
        <v>-1</v>
      </c>
      <c r="O15" s="20" t="n">
        <f aca="false">C15+สมมติฐาน!$C$32</f>
        <v>59</v>
      </c>
      <c r="P15" s="14" t="n">
        <f aca="false">(1+สมมติฐาน!$C$25)*สมมติฐาน!$B$37*LOOKUP(C15,สมมติฐาน!$A$59:$A$64,สมมติฐาน!$B$59:$B$64)*สมมติฐาน!$C$34*M15</f>
        <v>20291.8687130007</v>
      </c>
      <c r="Q15" s="14" t="n">
        <f aca="false">IF(AND(สมมติฐาน!$C$26&gt;0,N15&gt;=0,N15&lt;=19),สมมติฐาน!$C$26*สมมติฐาน!$B$37*LOOKUP(MAX(N15,0),สมมติฐาน!$A$59:$A$64,สมมติฐาน!$B$59:$B$64)*สมมติฐาน!$C$34*M15,0)</f>
        <v>0</v>
      </c>
      <c r="R15" s="14" t="n">
        <f aca="false">IF(AND(สมมติฐาน!$C$27&gt;0,O15&lt;=สมมติฐาน!$C$33),สมมติฐาน!$C$27*สมมติฐาน!$B$37*LOOKUP(O15,สมมติฐาน!$A$59:$A$64,สมมติฐาน!$B$59:$B$64)*สมมติฐาน!$C$34*M15,0)</f>
        <v>35510.7702477513</v>
      </c>
      <c r="S15" s="14" t="n">
        <f aca="false">IF(D15="รับราชการ",0,$AD$6*12*(1+สมมติฐาน!$B$42)^(A15-35-1))</f>
        <v>0</v>
      </c>
      <c r="T15" s="14" t="n">
        <f aca="false">IF(C15=สมมติฐาน!$C$8,$AD$7,0)+IF(C15=65,$AD$9,0)+IF(C15=70,$AD$11,0)+IF(A15=58,$AD$12+$AD$13,0)</f>
        <v>0</v>
      </c>
      <c r="U15" s="14" t="n">
        <f aca="false">G15+H15+I15+J15+K15+L15+P15+Q15+R15+S15+T15</f>
        <v>429842.839094969</v>
      </c>
      <c r="V15" s="14" t="n">
        <f aca="false">U15/E15</f>
        <v>381688.139953997</v>
      </c>
      <c r="W15" s="22" t="n">
        <f aca="false">1/(1+สมมติฐาน!$B$41)^(A15-1)</f>
        <v>0.887971382186192</v>
      </c>
      <c r="X15" s="14" t="n">
        <f aca="false">V15*W15</f>
        <v>338928.145199027</v>
      </c>
    </row>
    <row r="16" customFormat="false" ht="15" hidden="false" customHeight="true" outlineLevel="0" collapsed="false">
      <c r="A16" s="23" t="n">
        <v>8</v>
      </c>
      <c r="B16" s="23" t="n">
        <f aca="false">สมมติฐาน!$B$38+A16-1</f>
        <v>2576</v>
      </c>
      <c r="C16" s="23" t="n">
        <f aca="false">สมมติฐาน!$C$7+A16-1</f>
        <v>32</v>
      </c>
      <c r="D16" s="24" t="str">
        <f aca="false">IF(C16&lt;สมมติฐาน!$C$8,"รับราชการ","รับบำนาญ")</f>
        <v>รับราชการ</v>
      </c>
      <c r="E16" s="25" t="n">
        <f aca="false">(1+สมมติฐาน!$B$39)^(A16-1)</f>
        <v>1.14868566764928</v>
      </c>
      <c r="F16" s="26" t="n">
        <f aca="false">IF(D16="รับราชการ",สมมติฐาน!$C$13*(1+สมมติฐาน!$C$15)^(A16-1)*E16,0)</f>
        <v>25972.8565004416</v>
      </c>
      <c r="G16" s="26" t="n">
        <f aca="false">F16*12</f>
        <v>311674.278005299</v>
      </c>
      <c r="H16" s="26" t="n">
        <f aca="false">IF(D16="รับราชการ",IF(A16&gt;=สมมติฐาน!$C$19,สมมติฐาน!$C$18,IF(A16&gt;=สมมติฐาน!$C$17,สมมติฐาน!$C$16,0))*12*E16,0)</f>
        <v>48244.7980412698</v>
      </c>
      <c r="I16" s="26" t="n">
        <f aca="false">G16*สมมติฐาน!$C$21</f>
        <v>15583.7139002649</v>
      </c>
      <c r="J16" s="26" t="n">
        <f aca="false">IF(AND(D16="รับราชการ",A16&lt;=สมมติฐาน!$C$23),สมมติฐาน!$C$22*12*E16,0)</f>
        <v>55136.9120471654</v>
      </c>
      <c r="K16" s="26" t="n">
        <f aca="false">IF(AND(D16="รับราชการ",สมมติฐาน!$C$26&gt;0,A16&gt;=สมมติฐาน!$C$29,A16&lt;สมมติฐาน!$C$29+สมมติฐาน!$C$30),สมมติฐาน!$C$28*สมมติฐาน!$C$26*E16,0)</f>
        <v>57434.283382464</v>
      </c>
      <c r="L16" s="26" t="n">
        <f aca="false">G16*สมมติฐาน!$C$20</f>
        <v>9350.22834015897</v>
      </c>
      <c r="M16" s="25" t="n">
        <f aca="false">(1+สมมติฐาน!$B$39)^(A16-1)*(1+สมมติฐาน!$B$40)^(A16-1)</f>
        <v>1.31947876306287</v>
      </c>
      <c r="N16" s="23" t="n">
        <f aca="false">A16-สมมติฐาน!$C$31</f>
        <v>0</v>
      </c>
      <c r="O16" s="23" t="n">
        <f aca="false">C16+สมมติฐาน!$C$32</f>
        <v>60</v>
      </c>
      <c r="P16" s="26" t="n">
        <f aca="false">(1+สมมติฐาน!$C$25)*สมมติฐาน!$B$37*LOOKUP(C16,สมมติฐาน!$A$59:$A$64,สมมติฐาน!$B$59:$B$64)*สมมติฐาน!$C$34*M16</f>
        <v>21111.660209006</v>
      </c>
      <c r="Q16" s="26" t="n">
        <f aca="false">IF(AND(สมมติฐาน!$C$26&gt;0,N16&gt;=0,N16&lt;=19),สมมติฐาน!$C$26*สมมติฐาน!$B$37*LOOKUP(MAX(N16,0),สมมติฐาน!$A$59:$A$64,สมมติฐาน!$B$59:$B$64)*สมมติฐาน!$C$34*M16,0)</f>
        <v>15833.7451567545</v>
      </c>
      <c r="R16" s="26" t="n">
        <f aca="false">IF(AND(สมมติฐาน!$C$27&gt;0,O16&lt;=สมมติฐาน!$C$33),สมมติฐาน!$C$27*สมมติฐาน!$B$37*LOOKUP(O16,สมมติฐาน!$A$59:$A$64,สมมติฐาน!$B$59:$B$64)*สมมติฐาน!$C$34*M16,0)</f>
        <v>73890.8107315209</v>
      </c>
      <c r="S16" s="26" t="n">
        <f aca="false">IF(D16="รับราชการ",0,$AD$6*12*(1+สมมติฐาน!$B$42)^(A16-35-1))</f>
        <v>0</v>
      </c>
      <c r="T16" s="26" t="n">
        <f aca="false">IF(C16=สมมติฐาน!$C$8,$AD$7,0)+IF(C16=65,$AD$9,0)+IF(C16=70,$AD$11,0)+IF(A16=58,$AD$12+$AD$13,0)</f>
        <v>0</v>
      </c>
      <c r="U16" s="26" t="n">
        <f aca="false">G16+H16+I16+J16+K16+L16+P16+Q16+R16+S16+T16</f>
        <v>608260.429813903</v>
      </c>
      <c r="V16" s="26" t="n">
        <f aca="false">U16/E16</f>
        <v>529527.308422568</v>
      </c>
      <c r="W16" s="25" t="n">
        <f aca="false">1/(1+สมมติฐาน!$B$41)^(A16-1)</f>
        <v>0.870560178613914</v>
      </c>
      <c r="X16" s="26" t="n">
        <f aca="false">V16*W16</f>
        <v>460985.388201295</v>
      </c>
    </row>
    <row r="17" customFormat="false" ht="15" hidden="false" customHeight="true" outlineLevel="0" collapsed="false">
      <c r="A17" s="20" t="n">
        <v>9</v>
      </c>
      <c r="B17" s="20" t="n">
        <f aca="false">สมมติฐาน!$B$38+A17-1</f>
        <v>2577</v>
      </c>
      <c r="C17" s="20" t="n">
        <f aca="false">สมมติฐาน!$C$7+A17-1</f>
        <v>33</v>
      </c>
      <c r="D17" s="21" t="str">
        <f aca="false">IF(C17&lt;สมมติฐาน!$C$8,"รับราชการ","รับบำนาญ")</f>
        <v>รับราชการ</v>
      </c>
      <c r="E17" s="22" t="n">
        <f aca="false">(1+สมมติฐาน!$B$39)^(A17-1)</f>
        <v>1.17165938100227</v>
      </c>
      <c r="F17" s="14" t="n">
        <f aca="false">IF(D17="รับราชการ",สมมติฐาน!$C$13*(1+สมมติฐาน!$C$15)^(A17-1)*E17,0)</f>
        <v>27322.1972438707</v>
      </c>
      <c r="G17" s="14" t="n">
        <f aca="false">F17*12</f>
        <v>327866.366926448</v>
      </c>
      <c r="H17" s="14" t="n">
        <f aca="false">IF(D17="รับราชการ",IF(A17&gt;=สมมติฐาน!$C$19,สมมติฐาน!$C$18,IF(A17&gt;=สมมติฐาน!$C$17,สมมติฐาน!$C$16,0))*12*E17,0)</f>
        <v>49209.6940020952</v>
      </c>
      <c r="I17" s="14" t="n">
        <f aca="false">G17*สมมติฐาน!$C$21</f>
        <v>16393.3183463224</v>
      </c>
      <c r="J17" s="14" t="n">
        <f aca="false">IF(AND(D17="รับราชการ",A17&lt;=สมมติฐาน!$C$23),สมมติฐาน!$C$22*12*E17,0)</f>
        <v>56239.6502881088</v>
      </c>
      <c r="K17" s="14" t="n">
        <f aca="false">IF(AND(D17="รับราชการ",สมมติฐาน!$C$26&gt;0,A17&gt;=สมมติฐาน!$C$29,A17&lt;สมมติฐาน!$C$29+สมมติฐาน!$C$30),สมมติฐาน!$C$28*สมมติฐาน!$C$26*E17,0)</f>
        <v>58582.9690501133</v>
      </c>
      <c r="L17" s="14" t="n">
        <f aca="false">G17*สมมติฐาน!$C$20</f>
        <v>9835.99100779344</v>
      </c>
      <c r="M17" s="22" t="n">
        <f aca="false">(1+สมมติฐาน!$B$39)^(A17-1)*(1+สมมติฐาน!$B$40)^(A17-1)</f>
        <v>1.37278570509061</v>
      </c>
      <c r="N17" s="20" t="n">
        <f aca="false">A17-สมมติฐาน!$C$31</f>
        <v>1</v>
      </c>
      <c r="O17" s="20" t="n">
        <f aca="false">C17+สมมติฐาน!$C$32</f>
        <v>61</v>
      </c>
      <c r="P17" s="14" t="n">
        <f aca="false">(1+สมมติฐาน!$C$25)*สมมติฐาน!$B$37*LOOKUP(C17,สมมติฐาน!$A$59:$A$64,สมมติฐาน!$B$59:$B$64)*สมมติฐาน!$C$34*M17</f>
        <v>21964.5712814498</v>
      </c>
      <c r="Q17" s="14" t="n">
        <f aca="false">IF(AND(สมมติฐาน!$C$26&gt;0,N17&gt;=0,N17&lt;=19),สมมติฐาน!$C$26*สมมติฐาน!$B$37*LOOKUP(MAX(N17,0),สมมติฐาน!$A$59:$A$64,สมมติฐาน!$B$59:$B$64)*สมมติฐาน!$C$34*M17,0)</f>
        <v>16473.4284610874</v>
      </c>
      <c r="R17" s="14" t="n">
        <f aca="false">IF(AND(สมมติฐาน!$C$27&gt;0,O17&lt;=สมมติฐาน!$C$33),สมมติฐาน!$C$27*สมมติฐาน!$B$37*LOOKUP(O17,สมมติฐาน!$A$59:$A$64,สมมติฐาน!$B$59:$B$64)*สมมติฐาน!$C$34*M17,0)</f>
        <v>76875.9994850743</v>
      </c>
      <c r="S17" s="14" t="n">
        <f aca="false">IF(D17="รับราชการ",0,$AD$6*12*(1+สมมติฐาน!$B$42)^(A17-35-1))</f>
        <v>0</v>
      </c>
      <c r="T17" s="14" t="n">
        <f aca="false">IF(C17=สมมติฐาน!$C$8,$AD$7,0)+IF(C17=65,$AD$9,0)+IF(C17=70,$AD$11,0)+IF(A17=58,$AD$12+$AD$13,0)</f>
        <v>0</v>
      </c>
      <c r="U17" s="14" t="n">
        <f aca="false">G17+H17+I17+J17+K17+L17+P17+Q17+R17+S17+T17</f>
        <v>633441.988848492</v>
      </c>
      <c r="V17" s="14" t="n">
        <f aca="false">U17/E17</f>
        <v>540636.638189702</v>
      </c>
      <c r="W17" s="22" t="n">
        <f aca="false">1/(1+สมมติฐาน!$B$41)^(A17-1)</f>
        <v>0.853490371190111</v>
      </c>
      <c r="X17" s="14" t="n">
        <f aca="false">V17*W17</f>
        <v>461428.165007503</v>
      </c>
    </row>
    <row r="18" customFormat="false" ht="15" hidden="false" customHeight="true" outlineLevel="0" collapsed="false">
      <c r="A18" s="23" t="n">
        <v>10</v>
      </c>
      <c r="B18" s="23" t="n">
        <f aca="false">สมมติฐาน!$B$38+A18-1</f>
        <v>2578</v>
      </c>
      <c r="C18" s="23" t="n">
        <f aca="false">สมมติฐาน!$C$7+A18-1</f>
        <v>34</v>
      </c>
      <c r="D18" s="24" t="str">
        <f aca="false">IF(C18&lt;สมมติฐาน!$C$8,"รับราชการ","รับบำนาญ")</f>
        <v>รับราชการ</v>
      </c>
      <c r="E18" s="25" t="n">
        <f aca="false">(1+สมมติฐาน!$B$39)^(A18-1)</f>
        <v>1.19509256862231</v>
      </c>
      <c r="F18" s="26" t="n">
        <f aca="false">IF(D18="รับราชการ",สมมติฐาน!$C$13*(1+สมมติฐาน!$C$15)^(A18-1)*E18,0)</f>
        <v>28741.638880586</v>
      </c>
      <c r="G18" s="26" t="n">
        <f aca="false">F18*12</f>
        <v>344899.666567032</v>
      </c>
      <c r="H18" s="26" t="n">
        <f aca="false">IF(D18="รับราชการ",IF(A18&gt;=สมมติฐาน!$C$19,สมมติฐาน!$C$18,IF(A18&gt;=สมมติฐาน!$C$17,สมมติฐาน!$C$16,0))*12*E18,0)</f>
        <v>50193.8878821371</v>
      </c>
      <c r="I18" s="26" t="n">
        <f aca="false">G18*สมมติฐาน!$C$21</f>
        <v>17244.9833283516</v>
      </c>
      <c r="J18" s="26" t="n">
        <f aca="false">IF(AND(D18="รับราชการ",A18&lt;=สมมติฐาน!$C$23),สมมติฐาน!$C$22*12*E18,0)</f>
        <v>57364.4432938709</v>
      </c>
      <c r="K18" s="26" t="n">
        <f aca="false">IF(AND(D18="รับราชการ",สมมติฐาน!$C$26&gt;0,A18&gt;=สมมติฐาน!$C$29,A18&lt;สมมติฐาน!$C$29+สมมติฐาน!$C$30),สมมติฐาน!$C$28*สมมติฐาน!$C$26*E18,0)</f>
        <v>59754.6284311156</v>
      </c>
      <c r="L18" s="26" t="n">
        <f aca="false">G18*สมมติฐาน!$C$20</f>
        <v>10346.989997011</v>
      </c>
      <c r="M18" s="25" t="n">
        <f aca="false">(1+สมมติฐาน!$B$39)^(A18-1)*(1+สมมติฐาน!$B$40)^(A18-1)</f>
        <v>1.42824624757627</v>
      </c>
      <c r="N18" s="23" t="n">
        <f aca="false">A18-สมมติฐาน!$C$31</f>
        <v>2</v>
      </c>
      <c r="O18" s="23" t="n">
        <f aca="false">C18+สมมติฐาน!$C$32</f>
        <v>62</v>
      </c>
      <c r="P18" s="26" t="n">
        <f aca="false">(1+สมมติฐาน!$C$25)*สมมติฐาน!$B$37*LOOKUP(C18,สมมติฐาน!$A$59:$A$64,สมมติฐาน!$B$59:$B$64)*สมมติฐาน!$C$34*M18</f>
        <v>22851.9399612204</v>
      </c>
      <c r="Q18" s="26" t="n">
        <f aca="false">IF(AND(สมมติฐาน!$C$26&gt;0,N18&gt;=0,N18&lt;=19),สมมติฐาน!$C$26*สมมติฐาน!$B$37*LOOKUP(MAX(N18,0),สมมติฐาน!$A$59:$A$64,สมมติฐาน!$B$59:$B$64)*สมมติฐาน!$C$34*M18,0)</f>
        <v>17138.9549709153</v>
      </c>
      <c r="R18" s="26" t="n">
        <f aca="false">IF(AND(สมมติฐาน!$C$27&gt;0,O18&lt;=สมมติฐาน!$C$33),สมมติฐาน!$C$27*สมมติฐาน!$B$37*LOOKUP(O18,สมมติฐาน!$A$59:$A$64,สมมติฐาน!$B$59:$B$64)*สมมติฐาน!$C$34*M18,0)</f>
        <v>79981.7898642713</v>
      </c>
      <c r="S18" s="26" t="n">
        <f aca="false">IF(D18="รับราชการ",0,$AD$6*12*(1+สมมติฐาน!$B$42)^(A18-35-1))</f>
        <v>0</v>
      </c>
      <c r="T18" s="26" t="n">
        <f aca="false">IF(C18=สมมติฐาน!$C$8,$AD$7,0)+IF(C18=65,$AD$9,0)+IF(C18=70,$AD$11,0)+IF(A18=58,$AD$12+$AD$13,0)</f>
        <v>0</v>
      </c>
      <c r="U18" s="26" t="n">
        <f aca="false">G18+H18+I18+J18+K18+L18+P18+Q18+R18+S18+T18</f>
        <v>659777.284295925</v>
      </c>
      <c r="V18" s="26" t="n">
        <f aca="false">U18/E18</f>
        <v>552072.116937777</v>
      </c>
      <c r="W18" s="25" t="n">
        <f aca="false">1/(1+สมมติฐาน!$B$41)^(A18-1)</f>
        <v>0.836755265872658</v>
      </c>
      <c r="X18" s="26" t="n">
        <f aca="false">V18*W18</f>
        <v>461949.250989151</v>
      </c>
    </row>
    <row r="19" customFormat="false" ht="15" hidden="false" customHeight="true" outlineLevel="0" collapsed="false">
      <c r="A19" s="20" t="n">
        <v>11</v>
      </c>
      <c r="B19" s="20" t="n">
        <f aca="false">สมมติฐาน!$B$38+A19-1</f>
        <v>2579</v>
      </c>
      <c r="C19" s="20" t="n">
        <f aca="false">สมมติฐาน!$C$7+A19-1</f>
        <v>35</v>
      </c>
      <c r="D19" s="21" t="str">
        <f aca="false">IF(C19&lt;สมมติฐาน!$C$8,"รับราชการ","รับบำนาญ")</f>
        <v>รับราชการ</v>
      </c>
      <c r="E19" s="22" t="n">
        <f aca="false">(1+สมมติฐาน!$B$39)^(A19-1)</f>
        <v>1.21899441999476</v>
      </c>
      <c r="F19" s="14" t="n">
        <f aca="false">IF(D19="รับราชการ",สมมติฐาน!$C$13*(1+สมมติฐาน!$C$15)^(A19-1)*E19,0)</f>
        <v>30234.8232892336</v>
      </c>
      <c r="G19" s="14" t="n">
        <f aca="false">F19*12</f>
        <v>362817.879470803</v>
      </c>
      <c r="H19" s="14" t="n">
        <f aca="false">IF(D19="รับราชการ",IF(A19&gt;=สมมติฐาน!$C$19,สมมติฐาน!$C$18,IF(A19&gt;=สมมติฐาน!$C$17,สมมติฐาน!$C$16,0))*12*E19,0)</f>
        <v>51197.7656397798</v>
      </c>
      <c r="I19" s="14" t="n">
        <f aca="false">G19*สมมติฐาน!$C$21</f>
        <v>18140.8939735402</v>
      </c>
      <c r="J19" s="14" t="n">
        <f aca="false">IF(AND(D19="รับราชการ",A19&lt;=สมมติฐาน!$C$23),สมมติฐาน!$C$22*12*E19,0)</f>
        <v>0</v>
      </c>
      <c r="K19" s="14" t="n">
        <f aca="false">IF(AND(D19="รับราชการ",สมมติฐาน!$C$26&gt;0,A19&gt;=สมมติฐาน!$C$29,A19&lt;สมมติฐาน!$C$29+สมมติฐาน!$C$30),สมมติฐาน!$C$28*สมมติฐาน!$C$26*E19,0)</f>
        <v>60949.7209997379</v>
      </c>
      <c r="L19" s="14" t="n">
        <f aca="false">G19*สมมติฐาน!$C$20</f>
        <v>10884.5363841241</v>
      </c>
      <c r="M19" s="22" t="n">
        <f aca="false">(1+สมมติฐาน!$B$39)^(A19-1)*(1+สมมติฐาน!$B$40)^(A19-1)</f>
        <v>1.48594739597836</v>
      </c>
      <c r="N19" s="20" t="n">
        <f aca="false">A19-สมมติฐาน!$C$31</f>
        <v>3</v>
      </c>
      <c r="O19" s="20" t="n">
        <f aca="false">C19+สมมติฐาน!$C$32</f>
        <v>63</v>
      </c>
      <c r="P19" s="14" t="n">
        <f aca="false">(1+สมมติฐาน!$C$25)*สมมติฐาน!$B$37*LOOKUP(C19,สมมติฐาน!$A$59:$A$64,สมมติฐาน!$B$59:$B$64)*สมมติฐาน!$C$34*M19</f>
        <v>23775.1583356537</v>
      </c>
      <c r="Q19" s="14" t="n">
        <f aca="false">IF(AND(สมมติฐาน!$C$26&gt;0,N19&gt;=0,N19&lt;=19),สมมติฐาน!$C$26*สมมติฐาน!$B$37*LOOKUP(MAX(N19,0),สมมติฐาน!$A$59:$A$64,สมมติฐาน!$B$59:$B$64)*สมมติฐาน!$C$34*M19,0)</f>
        <v>17831.3687517403</v>
      </c>
      <c r="R19" s="14" t="n">
        <f aca="false">IF(AND(สมมติฐาน!$C$27&gt;0,O19&lt;=สมมติฐาน!$C$33),สมมติฐาน!$C$27*สมมติฐาน!$B$37*LOOKUP(O19,สมมติฐาน!$A$59:$A$64,สมมติฐาน!$B$59:$B$64)*สมมติฐาน!$C$34*M19,0)</f>
        <v>83213.0541747879</v>
      </c>
      <c r="S19" s="14" t="n">
        <f aca="false">IF(D19="รับราชการ",0,$AD$6*12*(1+สมมติฐาน!$B$42)^(A19-35-1))</f>
        <v>0</v>
      </c>
      <c r="T19" s="14" t="n">
        <f aca="false">IF(C19=สมมติฐาน!$C$8,$AD$7,0)+IF(C19=65,$AD$9,0)+IF(C19=70,$AD$11,0)+IF(A19=58,$AD$12+$AD$13,0)</f>
        <v>0</v>
      </c>
      <c r="U19" s="14" t="n">
        <f aca="false">G19+H19+I19+J19+K19+L19+P19+Q19+R19+S19+T19</f>
        <v>628810.377730167</v>
      </c>
      <c r="V19" s="14" t="n">
        <f aca="false">U19/E19</f>
        <v>515843.524314796</v>
      </c>
      <c r="W19" s="22" t="n">
        <f aca="false">1/(1+สมมติฐาน!$B$41)^(A19-1)</f>
        <v>0.820348299875155</v>
      </c>
      <c r="X19" s="14" t="n">
        <f aca="false">V19*W19</f>
        <v>423171.358173252</v>
      </c>
    </row>
    <row r="20" customFormat="false" ht="15" hidden="false" customHeight="true" outlineLevel="0" collapsed="false">
      <c r="A20" s="23" t="n">
        <v>12</v>
      </c>
      <c r="B20" s="23" t="n">
        <f aca="false">สมมติฐาน!$B$38+A20-1</f>
        <v>2580</v>
      </c>
      <c r="C20" s="23" t="n">
        <f aca="false">สมมติฐาน!$C$7+A20-1</f>
        <v>36</v>
      </c>
      <c r="D20" s="24" t="str">
        <f aca="false">IF(C20&lt;สมมติฐาน!$C$8,"รับราชการ","รับบำนาญ")</f>
        <v>รับราชการ</v>
      </c>
      <c r="E20" s="25" t="n">
        <f aca="false">(1+สมมติฐาน!$B$39)^(A20-1)</f>
        <v>1.24337430839465</v>
      </c>
      <c r="F20" s="26" t="n">
        <f aca="false">IF(D20="รับราชการ",สมมติฐาน!$C$13*(1+สมมติฐาน!$C$15)^(A20-1)*E20,0)</f>
        <v>31805.5815511848</v>
      </c>
      <c r="G20" s="26" t="n">
        <f aca="false">F20*12</f>
        <v>381666.978614217</v>
      </c>
      <c r="H20" s="26" t="n">
        <f aca="false">IF(D20="รับราชการ",IF(A20&gt;=สมมติฐาน!$C$19,สมมติฐาน!$C$18,IF(A20&gt;=สมมติฐาน!$C$17,สมมติฐาน!$C$16,0))*12*E20,0)</f>
        <v>52221.7209525754</v>
      </c>
      <c r="I20" s="26" t="n">
        <f aca="false">G20*สมมติฐาน!$C$21</f>
        <v>19083.3489307109</v>
      </c>
      <c r="J20" s="26" t="n">
        <f aca="false">IF(AND(D20="รับราชการ",A20&lt;=สมมติฐาน!$C$23),สมมติฐาน!$C$22*12*E20,0)</f>
        <v>0</v>
      </c>
      <c r="K20" s="26" t="n">
        <f aca="false">IF(AND(D20="รับราชการ",สมมติฐาน!$C$26&gt;0,A20&gt;=สมมติฐาน!$C$29,A20&lt;สมมติฐาน!$C$29+สมมติฐาน!$C$30),สมมติฐาน!$C$28*สมมติฐาน!$C$26*E20,0)</f>
        <v>62168.7154197326</v>
      </c>
      <c r="L20" s="26" t="n">
        <f aca="false">G20*สมมติฐาน!$C$20</f>
        <v>11450.0093584265</v>
      </c>
      <c r="M20" s="25" t="n">
        <f aca="false">(1+สมมติฐาน!$B$39)^(A20-1)*(1+สมมติฐาน!$B$40)^(A20-1)</f>
        <v>1.54597967077588</v>
      </c>
      <c r="N20" s="23" t="n">
        <f aca="false">A20-สมมติฐาน!$C$31</f>
        <v>4</v>
      </c>
      <c r="O20" s="23" t="n">
        <f aca="false">C20+สมมติฐาน!$C$32</f>
        <v>64</v>
      </c>
      <c r="P20" s="26" t="n">
        <f aca="false">(1+สมมติฐาน!$C$25)*สมมติฐาน!$B$37*LOOKUP(C20,สมมติฐาน!$A$59:$A$64,สมมติฐาน!$B$59:$B$64)*สมมติฐาน!$C$34*M20</f>
        <v>24735.6747324141</v>
      </c>
      <c r="Q20" s="26" t="n">
        <f aca="false">IF(AND(สมมติฐาน!$C$26&gt;0,N20&gt;=0,N20&lt;=19),สมมติฐาน!$C$26*สมมติฐาน!$B$37*LOOKUP(MAX(N20,0),สมมติฐาน!$A$59:$A$64,สมมติฐาน!$B$59:$B$64)*สมมติฐาน!$C$34*M20,0)</f>
        <v>18551.7560493106</v>
      </c>
      <c r="R20" s="26" t="n">
        <f aca="false">IF(AND(สมมติฐาน!$C$27&gt;0,O20&lt;=สมมติฐาน!$C$33),สมมติฐาน!$C$27*สมมติฐาน!$B$37*LOOKUP(O20,สมมติฐาน!$A$59:$A$64,สมมติฐาน!$B$59:$B$64)*สมมติฐาน!$C$34*M20,0)</f>
        <v>86574.8615634493</v>
      </c>
      <c r="S20" s="26" t="n">
        <f aca="false">IF(D20="รับราชการ",0,$AD$6*12*(1+สมมติฐาน!$B$42)^(A20-35-1))</f>
        <v>0</v>
      </c>
      <c r="T20" s="26" t="n">
        <f aca="false">IF(C20=สมมติฐาน!$C$8,$AD$7,0)+IF(C20=65,$AD$9,0)+IF(C20=70,$AD$11,0)+IF(A20=58,$AD$12+$AD$13,0)</f>
        <v>0</v>
      </c>
      <c r="U20" s="26" t="n">
        <f aca="false">G20+H20+I20+J20+K20+L20+P20+Q20+R20+S20+T20</f>
        <v>656453.065620837</v>
      </c>
      <c r="V20" s="26" t="n">
        <f aca="false">U20/E20</f>
        <v>527960.937578321</v>
      </c>
      <c r="W20" s="25" t="n">
        <f aca="false">1/(1+สมมติฐาน!$B$41)^(A20-1)</f>
        <v>0.804263039093289</v>
      </c>
      <c r="X20" s="26" t="n">
        <f aca="false">V20*W20</f>
        <v>424619.468179283</v>
      </c>
    </row>
    <row r="21" customFormat="false" ht="15" hidden="false" customHeight="true" outlineLevel="0" collapsed="false">
      <c r="A21" s="20" t="n">
        <v>13</v>
      </c>
      <c r="B21" s="20" t="n">
        <f aca="false">สมมติฐาน!$B$38+A21-1</f>
        <v>2581</v>
      </c>
      <c r="C21" s="20" t="n">
        <f aca="false">สมมติฐาน!$C$7+A21-1</f>
        <v>37</v>
      </c>
      <c r="D21" s="21" t="str">
        <f aca="false">IF(C21&lt;สมมติฐาน!$C$8,"รับราชการ","รับบำนาญ")</f>
        <v>รับราชการ</v>
      </c>
      <c r="E21" s="22" t="n">
        <f aca="false">(1+สมมติฐาน!$B$39)^(A21-1)</f>
        <v>1.26824179456255</v>
      </c>
      <c r="F21" s="14" t="n">
        <f aca="false">IF(D21="รับราชการ",สมมติฐาน!$C$13*(1+สมมติฐาน!$C$15)^(A21-1)*E21,0)</f>
        <v>33457.9437799885</v>
      </c>
      <c r="G21" s="14" t="n">
        <f aca="false">F21*12</f>
        <v>401495.325359862</v>
      </c>
      <c r="H21" s="14" t="n">
        <f aca="false">IF(D21="รับราชการ",IF(A21&gt;=สมมติฐาน!$C$19,สมมติฐาน!$C$18,IF(A21&gt;=สมมติฐาน!$C$17,สมมติฐาน!$C$16,0))*12*E21,0)</f>
        <v>53266.1553716269</v>
      </c>
      <c r="I21" s="14" t="n">
        <f aca="false">G21*สมมติฐาน!$C$21</f>
        <v>20074.7662679931</v>
      </c>
      <c r="J21" s="14" t="n">
        <f aca="false">IF(AND(D21="รับราชการ",A21&lt;=สมมติฐาน!$C$23),สมมติฐาน!$C$22*12*E21,0)</f>
        <v>0</v>
      </c>
      <c r="K21" s="14" t="n">
        <f aca="false">IF(AND(D21="รับราชการ",สมมติฐาน!$C$26&gt;0,A21&gt;=สมมติฐาน!$C$29,A21&lt;สมมติฐาน!$C$29+สมมติฐาน!$C$30),สมมติฐาน!$C$28*สมมติฐาน!$C$26*E21,0)</f>
        <v>63412.0897281273</v>
      </c>
      <c r="L21" s="14" t="n">
        <f aca="false">G21*สมมติฐาน!$C$20</f>
        <v>12044.8597607959</v>
      </c>
      <c r="M21" s="22" t="n">
        <f aca="false">(1+สมมติฐาน!$B$39)^(A21-1)*(1+สมมติฐาน!$B$40)^(A21-1)</f>
        <v>1.60843724947523</v>
      </c>
      <c r="N21" s="20" t="n">
        <f aca="false">A21-สมมติฐาน!$C$31</f>
        <v>5</v>
      </c>
      <c r="O21" s="20" t="n">
        <f aca="false">C21+สมมติฐาน!$C$32</f>
        <v>65</v>
      </c>
      <c r="P21" s="14" t="n">
        <f aca="false">(1+สมมติฐาน!$C$25)*สมมติฐาน!$B$37*LOOKUP(C21,สมมติฐาน!$A$59:$A$64,สมมติฐาน!$B$59:$B$64)*สมมติฐาน!$C$34*M21</f>
        <v>25734.9959916036</v>
      </c>
      <c r="Q21" s="14" t="n">
        <f aca="false">IF(AND(สมมติฐาน!$C$26&gt;0,N21&gt;=0,N21&lt;=19),สมมติฐาน!$C$26*สมมติฐาน!$B$37*LOOKUP(MAX(N21,0),สมมติฐาน!$A$59:$A$64,สมมติฐาน!$B$59:$B$64)*สมมติฐาน!$C$34*M21,0)</f>
        <v>19301.2469937027</v>
      </c>
      <c r="R21" s="14" t="n">
        <f aca="false">IF(AND(สมมติฐาน!$C$27&gt;0,O21&lt;=สมมติฐาน!$C$33),สมมติฐาน!$C$27*สมมติฐาน!$B$37*LOOKUP(O21,สมมติฐาน!$A$59:$A$64,สมมติฐาน!$B$59:$B$64)*สมมติฐาน!$C$34*M21,0)</f>
        <v>90072.4859706127</v>
      </c>
      <c r="S21" s="14" t="n">
        <f aca="false">IF(D21="รับราชการ",0,$AD$6*12*(1+สมมติฐาน!$B$42)^(A21-35-1))</f>
        <v>0</v>
      </c>
      <c r="T21" s="14" t="n">
        <f aca="false">IF(C21=สมมติฐาน!$C$8,$AD$7,0)+IF(C21=65,$AD$9,0)+IF(C21=70,$AD$11,0)+IF(A21=58,$AD$12+$AD$13,0)</f>
        <v>0</v>
      </c>
      <c r="U21" s="14" t="n">
        <f aca="false">G21+H21+I21+J21+K21+L21+P21+Q21+R21+S21+T21</f>
        <v>685401.925444324</v>
      </c>
      <c r="V21" s="14" t="n">
        <f aca="false">U21/E21</f>
        <v>540434.740743377</v>
      </c>
      <c r="W21" s="22" t="n">
        <f aca="false">1/(1+สมมติฐาน!$B$41)^(A21-1)</f>
        <v>0.788493175581656</v>
      </c>
      <c r="X21" s="14" t="n">
        <f aca="false">V21*W21</f>
        <v>426129.104923394</v>
      </c>
    </row>
    <row r="22" customFormat="false" ht="15" hidden="false" customHeight="true" outlineLevel="0" collapsed="false">
      <c r="A22" s="23" t="n">
        <v>14</v>
      </c>
      <c r="B22" s="23" t="n">
        <f aca="false">สมมติฐาน!$B$38+A22-1</f>
        <v>2582</v>
      </c>
      <c r="C22" s="23" t="n">
        <f aca="false">สมมติฐาน!$C$7+A22-1</f>
        <v>38</v>
      </c>
      <c r="D22" s="24" t="str">
        <f aca="false">IF(C22&lt;สมมติฐาน!$C$8,"รับราชการ","รับบำนาญ")</f>
        <v>รับราชการ</v>
      </c>
      <c r="E22" s="25" t="n">
        <f aca="false">(1+สมมติฐาน!$B$39)^(A22-1)</f>
        <v>1.2936066304538</v>
      </c>
      <c r="F22" s="26" t="n">
        <f aca="false">IF(D22="รับราชการ",สมมติฐาน!$C$13*(1+สมมติฐาน!$C$15)^(A22-1)*E22,0)</f>
        <v>35196.1494614826</v>
      </c>
      <c r="G22" s="26" t="n">
        <f aca="false">F22*12</f>
        <v>422353.793537791</v>
      </c>
      <c r="H22" s="26" t="n">
        <f aca="false">IF(D22="รับราชการ",IF(A22&gt;=สมมติฐาน!$C$19,สมมติฐาน!$C$18,IF(A22&gt;=สมมติฐาน!$C$17,สมมติฐาน!$C$16,0))*12*E22,0)</f>
        <v>54331.4784790595</v>
      </c>
      <c r="I22" s="26" t="n">
        <f aca="false">G22*สมมติฐาน!$C$21</f>
        <v>21117.6896768896</v>
      </c>
      <c r="J22" s="26" t="n">
        <f aca="false">IF(AND(D22="รับราชการ",A22&lt;=สมมติฐาน!$C$23),สมมติฐาน!$C$22*12*E22,0)</f>
        <v>0</v>
      </c>
      <c r="K22" s="26" t="n">
        <f aca="false">IF(AND(D22="รับราชการ",สมมติฐาน!$C$26&gt;0,A22&gt;=สมมติฐาน!$C$29,A22&lt;สมมติฐาน!$C$29+สมมติฐาน!$C$30),สมมติฐาน!$C$28*สมมติฐาน!$C$26*E22,0)</f>
        <v>64680.3315226898</v>
      </c>
      <c r="L22" s="26" t="n">
        <f aca="false">G22*สมมติฐาน!$C$20</f>
        <v>12670.6138061337</v>
      </c>
      <c r="M22" s="25" t="n">
        <f aca="false">(1+สมมติฐาน!$B$39)^(A22-1)*(1+สมมติฐาน!$B$40)^(A22-1)</f>
        <v>1.67341811435403</v>
      </c>
      <c r="N22" s="23" t="n">
        <f aca="false">A22-สมมติฐาน!$C$31</f>
        <v>6</v>
      </c>
      <c r="O22" s="23" t="n">
        <f aca="false">C22+สมมติฐาน!$C$32</f>
        <v>66</v>
      </c>
      <c r="P22" s="26" t="n">
        <f aca="false">(1+สมมติฐาน!$C$25)*สมมติฐาน!$B$37*LOOKUP(C22,สมมติฐาน!$A$59:$A$64,สมมติฐาน!$B$59:$B$64)*สมมติฐาน!$C$34*M22</f>
        <v>26774.6898296644</v>
      </c>
      <c r="Q22" s="26" t="n">
        <f aca="false">IF(AND(สมมติฐาน!$C$26&gt;0,N22&gt;=0,N22&lt;=19),สมมติฐาน!$C$26*สมมติฐาน!$B$37*LOOKUP(MAX(N22,0),สมมติฐาน!$A$59:$A$64,สมมติฐาน!$B$59:$B$64)*สมมติฐาน!$C$34*M22,0)</f>
        <v>20081.0173722483</v>
      </c>
      <c r="R22" s="26" t="n">
        <f aca="false">IF(AND(สมมติฐาน!$C$27&gt;0,O22&lt;=สมมติฐาน!$C$33),สมมติฐาน!$C$27*สมมติฐาน!$B$37*LOOKUP(O22,สมมติฐาน!$A$59:$A$64,สมมติฐาน!$B$59:$B$64)*สมมติฐาน!$C$34*M22,0)</f>
        <v>93711.4144038254</v>
      </c>
      <c r="S22" s="26" t="n">
        <f aca="false">IF(D22="รับราชการ",0,$AD$6*12*(1+สมมติฐาน!$B$42)^(A22-35-1))</f>
        <v>0</v>
      </c>
      <c r="T22" s="26" t="n">
        <f aca="false">IF(C22=สมมติฐาน!$C$8,$AD$7,0)+IF(C22=65,$AD$9,0)+IF(C22=70,$AD$11,0)+IF(A22=58,$AD$12+$AD$13,0)</f>
        <v>0</v>
      </c>
      <c r="U22" s="26" t="n">
        <f aca="false">G22+H22+I22+J22+K22+L22+P22+Q22+R22+S22+T22</f>
        <v>715721.028628302</v>
      </c>
      <c r="V22" s="26" t="n">
        <f aca="false">U22/E22</f>
        <v>553275.634013431</v>
      </c>
      <c r="W22" s="25" t="n">
        <f aca="false">1/(1+สมมติฐาน!$B$41)^(A22-1)</f>
        <v>0.773032525080055</v>
      </c>
      <c r="X22" s="26" t="n">
        <f aca="false">V22*W22</f>
        <v>427700.060426671</v>
      </c>
    </row>
    <row r="23" customFormat="false" ht="15" hidden="false" customHeight="true" outlineLevel="0" collapsed="false">
      <c r="A23" s="20" t="n">
        <v>15</v>
      </c>
      <c r="B23" s="20" t="n">
        <f aca="false">สมมติฐาน!$B$38+A23-1</f>
        <v>2583</v>
      </c>
      <c r="C23" s="20" t="n">
        <f aca="false">สมมติฐาน!$C$7+A23-1</f>
        <v>39</v>
      </c>
      <c r="D23" s="21" t="str">
        <f aca="false">IF(C23&lt;สมมติฐาน!$C$8,"รับราชการ","รับบำนาญ")</f>
        <v>รับราชการ</v>
      </c>
      <c r="E23" s="22" t="n">
        <f aca="false">(1+สมมติฐาน!$B$39)^(A23-1)</f>
        <v>1.31947876306287</v>
      </c>
      <c r="F23" s="14" t="n">
        <f aca="false">IF(D23="รับราชการ",สมมติฐาน!$C$13*(1+สมมติฐาน!$C$15)^(A23-1)*E23,0)</f>
        <v>37024.6583310939</v>
      </c>
      <c r="G23" s="14" t="n">
        <f aca="false">F23*12</f>
        <v>444295.899973126</v>
      </c>
      <c r="H23" s="14" t="n">
        <f aca="false">IF(D23="รับราชการ",IF(A23&gt;=สมมติฐาน!$C$19,สมมติฐาน!$C$18,IF(A23&gt;=สมมติฐาน!$C$17,สมมติฐาน!$C$16,0))*12*E23,0)</f>
        <v>55418.1080486406</v>
      </c>
      <c r="I23" s="14" t="n">
        <f aca="false">G23*สมมติฐาน!$C$21</f>
        <v>22214.7949986563</v>
      </c>
      <c r="J23" s="14" t="n">
        <f aca="false">IF(AND(D23="รับราชการ",A23&lt;=สมมติฐาน!$C$23),สมมติฐาน!$C$22*12*E23,0)</f>
        <v>0</v>
      </c>
      <c r="K23" s="14" t="n">
        <f aca="false">IF(AND(D23="รับราชการ",สมมติฐาน!$C$26&gt;0,A23&gt;=สมมติฐาน!$C$29,A23&lt;สมมติฐาน!$C$29+สมมติฐาน!$C$30),สมมติฐาน!$C$28*สมมติฐาน!$C$26*E23,0)</f>
        <v>65973.9381531436</v>
      </c>
      <c r="L23" s="14" t="n">
        <f aca="false">G23*สมมติฐาน!$C$20</f>
        <v>13328.8769991938</v>
      </c>
      <c r="M23" s="22" t="n">
        <f aca="false">(1+สมมติฐาน!$B$39)^(A23-1)*(1+สมมติฐาน!$B$40)^(A23-1)</f>
        <v>1.74102420617393</v>
      </c>
      <c r="N23" s="20" t="n">
        <f aca="false">A23-สมมติฐาน!$C$31</f>
        <v>7</v>
      </c>
      <c r="O23" s="20" t="n">
        <f aca="false">C23+สมมติฐาน!$C$32</f>
        <v>67</v>
      </c>
      <c r="P23" s="14" t="n">
        <f aca="false">(1+สมมติฐาน!$C$25)*สมมติฐาน!$B$37*LOOKUP(C23,สมมติฐาน!$A$59:$A$64,สมมติฐาน!$B$59:$B$64)*สมมติฐาน!$C$34*M23</f>
        <v>27856.3872987828</v>
      </c>
      <c r="Q23" s="14" t="n">
        <f aca="false">IF(AND(สมมติฐาน!$C$26&gt;0,N23&gt;=0,N23&lt;=19),สมมติฐาน!$C$26*สมมติฐาน!$B$37*LOOKUP(MAX(N23,0),สมมติฐาน!$A$59:$A$64,สมมติฐาน!$B$59:$B$64)*สมมติฐาน!$C$34*M23,0)</f>
        <v>20892.2904740871</v>
      </c>
      <c r="R23" s="14" t="n">
        <f aca="false">IF(AND(สมมติฐาน!$C$27&gt;0,O23&lt;=สมมติฐาน!$C$33),สมมติฐาน!$C$27*สมมติฐาน!$B$37*LOOKUP(O23,สมมติฐาน!$A$59:$A$64,สมมติฐาน!$B$59:$B$64)*สมมติฐาน!$C$34*M23,0)</f>
        <v>97497.35554574</v>
      </c>
      <c r="S23" s="14" t="n">
        <f aca="false">IF(D23="รับราชการ",0,$AD$6*12*(1+สมมติฐาน!$B$42)^(A23-35-1))</f>
        <v>0</v>
      </c>
      <c r="T23" s="14" t="n">
        <f aca="false">IF(C23=สมมติฐาน!$C$8,$AD$7,0)+IF(C23=65,$AD$9,0)+IF(C23=70,$AD$11,0)+IF(A23=58,$AD$12+$AD$13,0)</f>
        <v>0</v>
      </c>
      <c r="U23" s="14" t="n">
        <f aca="false">G23+H23+I23+J23+K23+L23+P23+Q23+R23+S23+T23</f>
        <v>747477.651491371</v>
      </c>
      <c r="V23" s="14" t="n">
        <f aca="false">U23/E23</f>
        <v>566494.643503219</v>
      </c>
      <c r="W23" s="22" t="n">
        <f aca="false">1/(1+สมมติฐาน!$B$41)^(A23-1)</f>
        <v>0.757875024588289</v>
      </c>
      <c r="X23" s="14" t="n">
        <f aca="false">V23*W23</f>
        <v>429332.141874137</v>
      </c>
    </row>
    <row r="24" customFormat="false" ht="15" hidden="false" customHeight="true" outlineLevel="0" collapsed="false">
      <c r="A24" s="23" t="n">
        <v>16</v>
      </c>
      <c r="B24" s="23" t="n">
        <f aca="false">สมมติฐาน!$B$38+A24-1</f>
        <v>2584</v>
      </c>
      <c r="C24" s="23" t="n">
        <f aca="false">สมมติฐาน!$C$7+A24-1</f>
        <v>40</v>
      </c>
      <c r="D24" s="24" t="str">
        <f aca="false">IF(C24&lt;สมมติฐาน!$C$8,"รับราชการ","รับบำนาญ")</f>
        <v>รับราชการ</v>
      </c>
      <c r="E24" s="25" t="n">
        <f aca="false">(1+สมมติฐาน!$B$39)^(A24-1)</f>
        <v>1.34586833832413</v>
      </c>
      <c r="F24" s="26" t="n">
        <f aca="false">IF(D24="รับราชการ",สมมติฐาน!$C$13*(1+สมมติฐาน!$C$15)^(A24-1)*E24,0)</f>
        <v>38948.1618162356</v>
      </c>
      <c r="G24" s="26" t="n">
        <f aca="false">F24*12</f>
        <v>467377.941794827</v>
      </c>
      <c r="H24" s="26" t="n">
        <f aca="false">IF(D24="รับราชการ",IF(A24&gt;=สมมติฐาน!$C$19,สมมติฐาน!$C$18,IF(A24&gt;=สมมติฐาน!$C$17,สมมติฐาน!$C$16,0))*12*E24,0)</f>
        <v>56526.4702096135</v>
      </c>
      <c r="I24" s="26" t="n">
        <f aca="false">G24*สมมติฐาน!$C$21</f>
        <v>23368.8970897414</v>
      </c>
      <c r="J24" s="26" t="n">
        <f aca="false">IF(AND(D24="รับราชการ",A24&lt;=สมมติฐาน!$C$23),สมมติฐาน!$C$22*12*E24,0)</f>
        <v>0</v>
      </c>
      <c r="K24" s="26" t="n">
        <f aca="false">IF(AND(D24="รับราชการ",สมมติฐาน!$C$26&gt;0,A24&gt;=สมมติฐาน!$C$29,A24&lt;สมมติฐาน!$C$29+สมมติฐาน!$C$30),สมมติฐาน!$C$28*สมมติฐาน!$C$26*E24,0)</f>
        <v>67293.4169162065</v>
      </c>
      <c r="L24" s="26" t="n">
        <f aca="false">G24*สมมติฐาน!$C$20</f>
        <v>14021.3382538448</v>
      </c>
      <c r="M24" s="25" t="n">
        <f aca="false">(1+สมมติฐาน!$B$39)^(A24-1)*(1+สมมติฐาน!$B$40)^(A24-1)</f>
        <v>1.81136158410335</v>
      </c>
      <c r="N24" s="23" t="n">
        <f aca="false">A24-สมมติฐาน!$C$31</f>
        <v>8</v>
      </c>
      <c r="O24" s="23" t="n">
        <f aca="false">C24+สมมติฐาน!$C$32</f>
        <v>68</v>
      </c>
      <c r="P24" s="26" t="n">
        <f aca="false">(1+สมมติฐาน!$C$25)*สมมติฐาน!$B$37*LOOKUP(C24,สมมติฐาน!$A$59:$A$64,สมมติฐาน!$B$59:$B$64)*สมมติฐาน!$C$34*M24</f>
        <v>28981.7853456537</v>
      </c>
      <c r="Q24" s="26" t="n">
        <f aca="false">IF(AND(สมมติฐาน!$C$26&gt;0,N24&gt;=0,N24&lt;=19),สมมติฐาน!$C$26*สมมติฐาน!$B$37*LOOKUP(MAX(N24,0),สมมติฐาน!$A$59:$A$64,สมมติฐาน!$B$59:$B$64)*สมมติฐาน!$C$34*M24,0)</f>
        <v>21736.3390092403</v>
      </c>
      <c r="R24" s="26" t="n">
        <f aca="false">IF(AND(สมมติฐาน!$C$27&gt;0,O24&lt;=สมมติฐาน!$C$33),สมมติฐาน!$C$27*สมมติฐาน!$B$37*LOOKUP(O24,สมมติฐาน!$A$59:$A$64,สมมติฐาน!$B$59:$B$64)*สมมติฐาน!$C$34*M24,0)</f>
        <v>101436.248709788</v>
      </c>
      <c r="S24" s="26" t="n">
        <f aca="false">IF(D24="รับราชการ",0,$AD$6*12*(1+สมมติฐาน!$B$42)^(A24-35-1))</f>
        <v>0</v>
      </c>
      <c r="T24" s="26" t="n">
        <f aca="false">IF(C24=สมมติฐาน!$C$8,$AD$7,0)+IF(C24=65,$AD$9,0)+IF(C24=70,$AD$11,0)+IF(A24=58,$AD$12+$AD$13,0)</f>
        <v>0</v>
      </c>
      <c r="U24" s="26" t="n">
        <f aca="false">G24+H24+I24+J24+K24+L24+P24+Q24+R24+S24+T24</f>
        <v>780742.437328915</v>
      </c>
      <c r="V24" s="26" t="n">
        <f aca="false">U24/E24</f>
        <v>580103.131262522</v>
      </c>
      <c r="W24" s="25" t="n">
        <f aca="false">1/(1+สมมติฐาน!$B$41)^(A24-1)</f>
        <v>0.743014729988519</v>
      </c>
      <c r="X24" s="26" t="n">
        <f aca="false">V24*W24</f>
        <v>431025.171440517</v>
      </c>
    </row>
    <row r="25" customFormat="false" ht="15" hidden="false" customHeight="true" outlineLevel="0" collapsed="false">
      <c r="A25" s="20" t="n">
        <v>17</v>
      </c>
      <c r="B25" s="20" t="n">
        <f aca="false">สมมติฐาน!$B$38+A25-1</f>
        <v>2585</v>
      </c>
      <c r="C25" s="20" t="n">
        <f aca="false">สมมติฐาน!$C$7+A25-1</f>
        <v>41</v>
      </c>
      <c r="D25" s="21" t="str">
        <f aca="false">IF(C25&lt;สมมติฐาน!$C$8,"รับราชการ","รับบำนาญ")</f>
        <v>รับราชการ</v>
      </c>
      <c r="E25" s="22" t="n">
        <f aca="false">(1+สมมติฐาน!$B$39)^(A25-1)</f>
        <v>1.37278570509061</v>
      </c>
      <c r="F25" s="14" t="n">
        <f aca="false">IF(D25="รับราชการ",สมมติฐาน!$C$13*(1+สมมติฐาน!$C$15)^(A25-1)*E25,0)</f>
        <v>40971.5950731599</v>
      </c>
      <c r="G25" s="14" t="n">
        <f aca="false">F25*12</f>
        <v>491659.140877919</v>
      </c>
      <c r="H25" s="14" t="n">
        <f aca="false">IF(D25="รับราชการ",IF(A25&gt;=สมมติฐาน!$C$19,สมมติฐาน!$C$18,IF(A25&gt;=สมมติฐาน!$C$17,สมมติฐาน!$C$16,0))*12*E25,0)</f>
        <v>57656.9996138057</v>
      </c>
      <c r="I25" s="14" t="n">
        <f aca="false">G25*สมมติฐาน!$C$21</f>
        <v>24582.9570438959</v>
      </c>
      <c r="J25" s="14" t="n">
        <f aca="false">IF(AND(D25="รับราชการ",A25&lt;=สมมติฐาน!$C$23),สมมติฐาน!$C$22*12*E25,0)</f>
        <v>0</v>
      </c>
      <c r="K25" s="14" t="n">
        <f aca="false">IF(AND(D25="รับราชการ",สมมติฐาน!$C$26&gt;0,A25&gt;=สมมติฐาน!$C$29,A25&lt;สมมติฐาน!$C$29+สมมติฐาน!$C$30),สมมติฐาน!$C$28*สมมติฐาน!$C$26*E25,0)</f>
        <v>68639.2852545306</v>
      </c>
      <c r="L25" s="14" t="n">
        <f aca="false">G25*สมมติฐาน!$C$20</f>
        <v>14749.7742263376</v>
      </c>
      <c r="M25" s="22" t="n">
        <f aca="false">(1+สมมติฐาน!$B$39)^(A25-1)*(1+สมมติฐาน!$B$40)^(A25-1)</f>
        <v>1.88454059210113</v>
      </c>
      <c r="N25" s="20" t="n">
        <f aca="false">A25-สมมติฐาน!$C$31</f>
        <v>9</v>
      </c>
      <c r="O25" s="20" t="n">
        <f aca="false">C25+สมมติฐาน!$C$32</f>
        <v>69</v>
      </c>
      <c r="P25" s="14" t="n">
        <f aca="false">(1+สมมติฐาน!$C$25)*สมมติฐาน!$B$37*LOOKUP(C25,สมมติฐาน!$A$59:$A$64,สมมติฐาน!$B$59:$B$64)*สมมติฐาน!$C$34*M25</f>
        <v>30152.6494736181</v>
      </c>
      <c r="Q25" s="14" t="n">
        <f aca="false">IF(AND(สมมติฐาน!$C$26&gt;0,N25&gt;=0,N25&lt;=19),สมมติฐาน!$C$26*สมมติฐาน!$B$37*LOOKUP(MAX(N25,0),สมมติฐาน!$A$59:$A$64,สมมติฐาน!$B$59:$B$64)*สมมติฐาน!$C$34*M25,0)</f>
        <v>22614.4871052136</v>
      </c>
      <c r="R25" s="14" t="n">
        <f aca="false">IF(AND(สมมติฐาน!$C$27&gt;0,O25&lt;=สมมติฐาน!$C$33),สมมติฐาน!$C$27*สมมติฐาน!$B$37*LOOKUP(O25,สมมติฐาน!$A$59:$A$64,สมมติฐาน!$B$59:$B$64)*สมมติฐาน!$C$34*M25,0)</f>
        <v>105534.273157663</v>
      </c>
      <c r="S25" s="14" t="n">
        <f aca="false">IF(D25="รับราชการ",0,$AD$6*12*(1+สมมติฐาน!$B$42)^(A25-35-1))</f>
        <v>0</v>
      </c>
      <c r="T25" s="14" t="n">
        <f aca="false">IF(C25=สมมติฐาน!$C$8,$AD$7,0)+IF(C25=65,$AD$9,0)+IF(C25=70,$AD$11,0)+IF(A25=58,$AD$12+$AD$13,0)</f>
        <v>0</v>
      </c>
      <c r="U25" s="14" t="n">
        <f aca="false">G25+H25+I25+J25+K25+L25+P25+Q25+R25+S25+T25</f>
        <v>815589.566752983</v>
      </c>
      <c r="V25" s="14" t="n">
        <f aca="false">U25/E25</f>
        <v>594112.805610217</v>
      </c>
      <c r="W25" s="22" t="n">
        <f aca="false">1/(1+สมมติฐาน!$B$41)^(A25-1)</f>
        <v>0.728445813714234</v>
      </c>
      <c r="X25" s="14" t="n">
        <f aca="false">V25*W25</f>
        <v>432778.986120781</v>
      </c>
    </row>
    <row r="26" customFormat="false" ht="15" hidden="false" customHeight="true" outlineLevel="0" collapsed="false">
      <c r="A26" s="23" t="n">
        <v>18</v>
      </c>
      <c r="B26" s="23" t="n">
        <f aca="false">สมมติฐาน!$B$38+A26-1</f>
        <v>2586</v>
      </c>
      <c r="C26" s="23" t="n">
        <f aca="false">สมมติฐาน!$C$7+A26-1</f>
        <v>42</v>
      </c>
      <c r="D26" s="24" t="str">
        <f aca="false">IF(C26&lt;สมมติฐาน!$C$8,"รับราชการ","รับบำนาญ")</f>
        <v>รับราชการ</v>
      </c>
      <c r="E26" s="25" t="n">
        <f aca="false">(1+สมมติฐาน!$B$39)^(A26-1)</f>
        <v>1.40024141919242</v>
      </c>
      <c r="F26" s="26" t="n">
        <f aca="false">IF(D26="รับราชการ",สมมติฐาน!$C$13*(1+สมมติฐาน!$C$15)^(A26-1)*E26,0)</f>
        <v>43100.1496491478</v>
      </c>
      <c r="G26" s="26" t="n">
        <f aca="false">F26*12</f>
        <v>517201.795789774</v>
      </c>
      <c r="H26" s="26" t="n">
        <f aca="false">IF(D26="รับราชการ",IF(A26&gt;=สมมติฐาน!$C$19,สมมติฐาน!$C$18,IF(A26&gt;=สมมติฐาน!$C$17,สมมติฐาน!$C$16,0))*12*E26,0)</f>
        <v>58810.1396060818</v>
      </c>
      <c r="I26" s="26" t="n">
        <f aca="false">G26*สมมติฐาน!$C$21</f>
        <v>25860.0897894887</v>
      </c>
      <c r="J26" s="26" t="n">
        <f aca="false">IF(AND(D26="รับราชการ",A26&lt;=สมมติฐาน!$C$23),สมมติฐาน!$C$22*12*E26,0)</f>
        <v>0</v>
      </c>
      <c r="K26" s="26" t="n">
        <f aca="false">IF(AND(D26="รับราชการ",สมมติฐาน!$C$26&gt;0,A26&gt;=สมมติฐาน!$C$29,A26&lt;สมมติฐาน!$C$29+สมมติฐาน!$C$30),สมมติฐาน!$C$28*สมมติฐาน!$C$26*E26,0)</f>
        <v>70012.0709596212</v>
      </c>
      <c r="L26" s="26" t="n">
        <f aca="false">G26*สมมติฐาน!$C$20</f>
        <v>15516.0538736932</v>
      </c>
      <c r="M26" s="25" t="n">
        <f aca="false">(1+สมมติฐาน!$B$39)^(A26-1)*(1+สมมติฐาน!$B$40)^(A26-1)</f>
        <v>1.96067603202202</v>
      </c>
      <c r="N26" s="23" t="n">
        <f aca="false">A26-สมมติฐาน!$C$31</f>
        <v>10</v>
      </c>
      <c r="O26" s="23" t="n">
        <f aca="false">C26+สมมติฐาน!$C$32</f>
        <v>70</v>
      </c>
      <c r="P26" s="26" t="n">
        <f aca="false">(1+สมมติฐาน!$C$25)*สมมติฐาน!$B$37*LOOKUP(C26,สมมติฐาน!$A$59:$A$64,สมมติฐาน!$B$59:$B$64)*สมมติฐาน!$C$34*M26</f>
        <v>31370.8165123523</v>
      </c>
      <c r="Q26" s="26" t="n">
        <f aca="false">IF(AND(สมมติฐาน!$C$26&gt;0,N26&gt;=0,N26&lt;=19),สมมติฐาน!$C$26*สมมติฐาน!$B$37*LOOKUP(MAX(N26,0),สมมติฐาน!$A$59:$A$64,สมมติฐาน!$B$59:$B$64)*สมมติฐาน!$C$34*M26,0)</f>
        <v>23528.1123842642</v>
      </c>
      <c r="R26" s="26" t="n">
        <f aca="false">IF(AND(สมมติฐาน!$C$27&gt;0,O26&lt;=สมมติฐาน!$C$33),สมมติฐาน!$C$27*สมมติฐาน!$B$37*LOOKUP(O26,สมมติฐาน!$A$59:$A$64,สมมติฐาน!$B$59:$B$64)*สมมติฐาน!$C$34*M26,0)</f>
        <v>176460.842881981</v>
      </c>
      <c r="S26" s="26" t="n">
        <f aca="false">IF(D26="รับราชการ",0,$AD$6*12*(1+สมมติฐาน!$B$42)^(A26-35-1))</f>
        <v>0</v>
      </c>
      <c r="T26" s="26" t="n">
        <f aca="false">IF(C26=สมมติฐาน!$C$8,$AD$7,0)+IF(C26=65,$AD$9,0)+IF(C26=70,$AD$11,0)+IF(A26=58,$AD$12+$AD$13,0)</f>
        <v>0</v>
      </c>
      <c r="U26" s="26" t="n">
        <f aca="false">G26+H26+I26+J26+K26+L26+P26+Q26+R26+S26+T26</f>
        <v>918759.921797257</v>
      </c>
      <c r="V26" s="26" t="n">
        <f aca="false">U26/E26</f>
        <v>656143.940040812</v>
      </c>
      <c r="W26" s="25" t="n">
        <f aca="false">1/(1+สมมติฐาน!$B$41)^(A26-1)</f>
        <v>0.714162562464936</v>
      </c>
      <c r="X26" s="26" t="n">
        <f aca="false">V26*W26</f>
        <v>468593.437565386</v>
      </c>
    </row>
    <row r="27" customFormat="false" ht="15" hidden="false" customHeight="true" outlineLevel="0" collapsed="false">
      <c r="A27" s="20" t="n">
        <v>19</v>
      </c>
      <c r="B27" s="20" t="n">
        <f aca="false">สมมติฐาน!$B$38+A27-1</f>
        <v>2587</v>
      </c>
      <c r="C27" s="20" t="n">
        <f aca="false">สมมติฐาน!$C$7+A27-1</f>
        <v>43</v>
      </c>
      <c r="D27" s="21" t="str">
        <f aca="false">IF(C27&lt;สมมติฐาน!$C$8,"รับราชการ","รับบำนาญ")</f>
        <v>รับราชการ</v>
      </c>
      <c r="E27" s="22" t="n">
        <f aca="false">(1+สมมติฐาน!$B$39)^(A27-1)</f>
        <v>1.42824624757627</v>
      </c>
      <c r="F27" s="14" t="n">
        <f aca="false">IF(D27="รับราชการ",สมมติฐาน!$C$13*(1+สมมติฐาน!$C$15)^(A27-1)*E27,0)</f>
        <v>45339.2868025255</v>
      </c>
      <c r="G27" s="14" t="n">
        <f aca="false">F27*12</f>
        <v>544071.441630306</v>
      </c>
      <c r="H27" s="14" t="n">
        <f aca="false">IF(D27="รับราชการ",IF(A27&gt;=สมมติฐาน!$C$19,สมมติฐาน!$C$18,IF(A27&gt;=สมมติฐาน!$C$17,สมมติฐาน!$C$16,0))*12*E27,0)</f>
        <v>59986.3423982035</v>
      </c>
      <c r="I27" s="14" t="n">
        <f aca="false">G27*สมมติฐาน!$C$21</f>
        <v>27203.5720815153</v>
      </c>
      <c r="J27" s="14" t="n">
        <f aca="false">IF(AND(D27="รับราชการ",A27&lt;=สมมติฐาน!$C$23),สมมติฐาน!$C$22*12*E27,0)</f>
        <v>0</v>
      </c>
      <c r="K27" s="14" t="n">
        <f aca="false">IF(AND(D27="รับราชการ",สมมติฐาน!$C$26&gt;0,A27&gt;=สมมติฐาน!$C$29,A27&lt;สมมติฐาน!$C$29+สมมติฐาน!$C$30),สมมติฐาน!$C$28*สมมติฐาน!$C$26*E27,0)</f>
        <v>71412.3123788137</v>
      </c>
      <c r="L27" s="14" t="n">
        <f aca="false">G27*สมมติฐาน!$C$20</f>
        <v>16322.1432489092</v>
      </c>
      <c r="M27" s="22" t="n">
        <f aca="false">(1+สมมติฐาน!$B$39)^(A27-1)*(1+สมมติฐาน!$B$40)^(A27-1)</f>
        <v>2.03988734371571</v>
      </c>
      <c r="N27" s="20" t="n">
        <f aca="false">A27-สมมติฐาน!$C$31</f>
        <v>11</v>
      </c>
      <c r="O27" s="20" t="n">
        <f aca="false">C27+สมมติฐาน!$C$32</f>
        <v>71</v>
      </c>
      <c r="P27" s="14" t="n">
        <f aca="false">(1+สมมติฐาน!$C$25)*สมมติฐาน!$B$37*LOOKUP(C27,สมมติฐาน!$A$59:$A$64,สมมติฐาน!$B$59:$B$64)*สมมติฐาน!$C$34*M27</f>
        <v>32638.1974994513</v>
      </c>
      <c r="Q27" s="14" t="n">
        <f aca="false">IF(AND(สมมติฐาน!$C$26&gt;0,N27&gt;=0,N27&lt;=19),สมมติฐาน!$C$26*สมมติฐาน!$B$37*LOOKUP(MAX(N27,0),สมมติฐาน!$A$59:$A$64,สมมติฐาน!$B$59:$B$64)*สมมติฐาน!$C$34*M27,0)</f>
        <v>24478.6481245885</v>
      </c>
      <c r="R27" s="14" t="n">
        <f aca="false">IF(AND(สมมติฐาน!$C$27&gt;0,O27&lt;=สมมติฐาน!$C$33),สมมติฐาน!$C$27*สมมติฐาน!$B$37*LOOKUP(O27,สมมติฐาน!$A$59:$A$64,สมมติฐาน!$B$59:$B$64)*สมมติฐาน!$C$34*M27,0)</f>
        <v>183589.860934414</v>
      </c>
      <c r="S27" s="14" t="n">
        <f aca="false">IF(D27="รับราชการ",0,$AD$6*12*(1+สมมติฐาน!$B$42)^(A27-35-1))</f>
        <v>0</v>
      </c>
      <c r="T27" s="14" t="n">
        <f aca="false">IF(C27=สมมติฐาน!$C$8,$AD$7,0)+IF(C27=65,$AD$9,0)+IF(C27=70,$AD$11,0)+IF(A27=58,$AD$12+$AD$13,0)</f>
        <v>0</v>
      </c>
      <c r="U27" s="14" t="n">
        <f aca="false">G27+H27+I27+J27+K27+L27+P27+Q27+R27+S27+T27</f>
        <v>959702.518296201</v>
      </c>
      <c r="V27" s="14" t="n">
        <f aca="false">U27/E27</f>
        <v>671944.715363202</v>
      </c>
      <c r="W27" s="22" t="n">
        <f aca="false">1/(1+สมมติฐาน!$B$41)^(A27-1)</f>
        <v>0.700159374965623</v>
      </c>
      <c r="X27" s="14" t="n">
        <f aca="false">V27*W27</f>
        <v>470468.391920153</v>
      </c>
    </row>
    <row r="28" customFormat="false" ht="15" hidden="false" customHeight="true" outlineLevel="0" collapsed="false">
      <c r="A28" s="23" t="n">
        <v>20</v>
      </c>
      <c r="B28" s="23" t="n">
        <f aca="false">สมมติฐาน!$B$38+A28-1</f>
        <v>2588</v>
      </c>
      <c r="C28" s="23" t="n">
        <f aca="false">สมมติฐาน!$C$7+A28-1</f>
        <v>44</v>
      </c>
      <c r="D28" s="24" t="str">
        <f aca="false">IF(C28&lt;สมมติฐาน!$C$8,"รับราชการ","รับบำนาญ")</f>
        <v>รับราชการ</v>
      </c>
      <c r="E28" s="25" t="n">
        <f aca="false">(1+สมมติฐาน!$B$39)^(A28-1)</f>
        <v>1.4568111725278</v>
      </c>
      <c r="F28" s="26" t="n">
        <f aca="false">IF(D28="รับราชการ",สมมติฐาน!$C$13*(1+สมมติฐาน!$C$15)^(A28-1)*E28,0)</f>
        <v>47694.7515146808</v>
      </c>
      <c r="G28" s="26" t="n">
        <f aca="false">F28*12</f>
        <v>572337.018176169</v>
      </c>
      <c r="H28" s="26" t="n">
        <f aca="false">IF(D28="รับราชการ",IF(A28&gt;=สมมติฐาน!$C$19,สมมติฐาน!$C$18,IF(A28&gt;=สมมติฐาน!$C$17,สมมติฐาน!$C$16,0))*12*E28,0)</f>
        <v>97897.7107938681</v>
      </c>
      <c r="I28" s="26" t="n">
        <f aca="false">G28*สมมติฐาน!$C$21</f>
        <v>28616.8509088085</v>
      </c>
      <c r="J28" s="26" t="n">
        <f aca="false">IF(AND(D28="รับราชการ",A28&lt;=สมมติฐาน!$C$23),สมมติฐาน!$C$22*12*E28,0)</f>
        <v>0</v>
      </c>
      <c r="K28" s="26" t="n">
        <f aca="false">IF(AND(D28="รับราชการ",สมมติฐาน!$C$26&gt;0,A28&gt;=สมมติฐาน!$C$29,A28&lt;สมมติฐาน!$C$29+สมมติฐาน!$C$30),สมมติฐาน!$C$28*สมมติฐาน!$C$26*E28,0)</f>
        <v>72840.55862639</v>
      </c>
      <c r="L28" s="26" t="n">
        <f aca="false">G28*สมมติฐาน!$C$20</f>
        <v>17170.1105452851</v>
      </c>
      <c r="M28" s="25" t="n">
        <f aca="false">(1+สมมติฐาน!$B$39)^(A28-1)*(1+สมมติฐาน!$B$40)^(A28-1)</f>
        <v>2.12229879240182</v>
      </c>
      <c r="N28" s="23" t="n">
        <f aca="false">A28-สมมติฐาน!$C$31</f>
        <v>12</v>
      </c>
      <c r="O28" s="23" t="n">
        <f aca="false">C28+สมมติฐาน!$C$32</f>
        <v>72</v>
      </c>
      <c r="P28" s="26" t="n">
        <f aca="false">(1+สมมติฐาน!$C$25)*สมมติฐาน!$B$37*LOOKUP(C28,สมมติฐาน!$A$59:$A$64,สมมติฐาน!$B$59:$B$64)*สมมติฐาน!$C$34*M28</f>
        <v>33956.7806784291</v>
      </c>
      <c r="Q28" s="26" t="n">
        <f aca="false">IF(AND(สมมติฐาน!$C$26&gt;0,N28&gt;=0,N28&lt;=19),สมมติฐาน!$C$26*สมมติฐาน!$B$37*LOOKUP(MAX(N28,0),สมมติฐาน!$A$59:$A$64,สมมติฐาน!$B$59:$B$64)*สมมติฐาน!$C$34*M28,0)</f>
        <v>25467.5855088218</v>
      </c>
      <c r="R28" s="26" t="n">
        <f aca="false">IF(AND(สมมติฐาน!$C$27&gt;0,O28&lt;=สมมติฐาน!$C$33),สมมติฐาน!$C$27*สมมติฐาน!$B$37*LOOKUP(O28,สมมติฐาน!$A$59:$A$64,สมมติฐาน!$B$59:$B$64)*สมมติฐาน!$C$34*M28,0)</f>
        <v>191006.891316164</v>
      </c>
      <c r="S28" s="26" t="n">
        <f aca="false">IF(D28="รับราชการ",0,$AD$6*12*(1+สมมติฐาน!$B$42)^(A28-35-1))</f>
        <v>0</v>
      </c>
      <c r="T28" s="26" t="n">
        <f aca="false">IF(C28=สมมติฐาน!$C$8,$AD$7,0)+IF(C28=65,$AD$9,0)+IF(C28=70,$AD$11,0)+IF(A28=58,$AD$12+$AD$13,0)</f>
        <v>0</v>
      </c>
      <c r="U28" s="26" t="n">
        <f aca="false">G28+H28+I28+J28+K28+L28+P28+Q28+R28+S28+T28</f>
        <v>1039293.50655394</v>
      </c>
      <c r="V28" s="26" t="n">
        <f aca="false">U28/E28</f>
        <v>713403.031328073</v>
      </c>
      <c r="W28" s="25" t="n">
        <f aca="false">1/(1+สมมติฐาน!$B$41)^(A28-1)</f>
        <v>0.686430759770219</v>
      </c>
      <c r="X28" s="26" t="n">
        <f aca="false">V28*W28</f>
        <v>489701.784816906</v>
      </c>
    </row>
    <row r="29" customFormat="false" ht="15" hidden="false" customHeight="true" outlineLevel="0" collapsed="false">
      <c r="A29" s="20" t="n">
        <v>21</v>
      </c>
      <c r="B29" s="20" t="n">
        <f aca="false">สมมติฐาน!$B$38+A29-1</f>
        <v>2589</v>
      </c>
      <c r="C29" s="20" t="n">
        <f aca="false">สมมติฐาน!$C$7+A29-1</f>
        <v>45</v>
      </c>
      <c r="D29" s="21" t="str">
        <f aca="false">IF(C29&lt;สมมติฐาน!$C$8,"รับราชการ","รับบำนาญ")</f>
        <v>รับราชการ</v>
      </c>
      <c r="E29" s="22" t="n">
        <f aca="false">(1+สมมติฐาน!$B$39)^(A29-1)</f>
        <v>1.48594739597836</v>
      </c>
      <c r="F29" s="14" t="n">
        <f aca="false">IF(D29="รับราชการ",สมมติฐาน!$C$13*(1+สมมติฐาน!$C$15)^(A29-1)*E29,0)</f>
        <v>50172.5872300319</v>
      </c>
      <c r="G29" s="14" t="n">
        <f aca="false">F29*12</f>
        <v>602071.046760383</v>
      </c>
      <c r="H29" s="14" t="n">
        <f aca="false">IF(D29="รับราชการ",IF(A29&gt;=สมมติฐาน!$C$19,สมมติฐาน!$C$18,IF(A29&gt;=สมมติฐาน!$C$17,สมมติฐาน!$C$16,0))*12*E29,0)</f>
        <v>99855.6650097455</v>
      </c>
      <c r="I29" s="14" t="n">
        <f aca="false">G29*สมมติฐาน!$C$21</f>
        <v>30103.5523380192</v>
      </c>
      <c r="J29" s="14" t="n">
        <f aca="false">IF(AND(D29="รับราชการ",A29&lt;=สมมติฐาน!$C$23),สมมติฐาน!$C$22*12*E29,0)</f>
        <v>0</v>
      </c>
      <c r="K29" s="14" t="n">
        <f aca="false">IF(AND(D29="รับราชการ",สมมติฐาน!$C$26&gt;0,A29&gt;=สมมติฐาน!$C$29,A29&lt;สมมติฐาน!$C$29+สมมติฐาน!$C$30),สมมติฐาน!$C$28*สมมติฐาน!$C$26*E29,0)</f>
        <v>74297.3697989178</v>
      </c>
      <c r="L29" s="14" t="n">
        <f aca="false">G29*สมมติฐาน!$C$20</f>
        <v>18062.1314028115</v>
      </c>
      <c r="M29" s="22" t="n">
        <f aca="false">(1+สมมติฐาน!$B$39)^(A29-1)*(1+สมมติฐาน!$B$40)^(A29-1)</f>
        <v>2.20803966361485</v>
      </c>
      <c r="N29" s="20" t="n">
        <f aca="false">A29-สมมติฐาน!$C$31</f>
        <v>13</v>
      </c>
      <c r="O29" s="20" t="n">
        <f aca="false">C29+สมมติฐาน!$C$32</f>
        <v>73</v>
      </c>
      <c r="P29" s="14" t="n">
        <f aca="false">(1+สมมติฐาน!$C$25)*สมมติฐาน!$B$37*LOOKUP(C29,สมมติฐาน!$A$59:$A$64,สมมติฐาน!$B$59:$B$64)*สมมติฐาน!$C$34*M29</f>
        <v>61825.1105812159</v>
      </c>
      <c r="Q29" s="14" t="n">
        <f aca="false">IF(AND(สมมติฐาน!$C$26&gt;0,N29&gt;=0,N29&lt;=19),สมมติฐาน!$C$26*สมมติฐาน!$B$37*LOOKUP(MAX(N29,0),สมมติฐาน!$A$59:$A$64,สมมติฐาน!$B$59:$B$64)*สมมติฐาน!$C$34*M29,0)</f>
        <v>26496.4759633783</v>
      </c>
      <c r="R29" s="14" t="n">
        <f aca="false">IF(AND(สมมติฐาน!$C$27&gt;0,O29&lt;=สมมติฐาน!$C$33),สมมติฐาน!$C$27*สมมติฐาน!$B$37*LOOKUP(O29,สมมติฐาน!$A$59:$A$64,สมมติฐาน!$B$59:$B$64)*สมมติฐาน!$C$34*M29,0)</f>
        <v>198723.569725337</v>
      </c>
      <c r="S29" s="14" t="n">
        <f aca="false">IF(D29="รับราชการ",0,$AD$6*12*(1+สมมติฐาน!$B$42)^(A29-35-1))</f>
        <v>0</v>
      </c>
      <c r="T29" s="14" t="n">
        <f aca="false">IF(C29=สมมติฐาน!$C$8,$AD$7,0)+IF(C29=65,$AD$9,0)+IF(C29=70,$AD$11,0)+IF(A29=58,$AD$12+$AD$13,0)</f>
        <v>0</v>
      </c>
      <c r="U29" s="14" t="n">
        <f aca="false">G29+H29+I29+J29+K29+L29+P29+Q29+R29+S29+T29</f>
        <v>1111434.92157981</v>
      </c>
      <c r="V29" s="14" t="n">
        <f aca="false">U29/E29</f>
        <v>747963.840838413</v>
      </c>
      <c r="W29" s="22" t="n">
        <f aca="false">1/(1+สมมติฐาน!$B$41)^(A29-1)</f>
        <v>0.672971333108058</v>
      </c>
      <c r="X29" s="14" t="n">
        <f aca="false">V29*W29</f>
        <v>503358.22308565</v>
      </c>
    </row>
    <row r="30" customFormat="false" ht="15" hidden="false" customHeight="true" outlineLevel="0" collapsed="false">
      <c r="A30" s="23" t="n">
        <v>22</v>
      </c>
      <c r="B30" s="23" t="n">
        <f aca="false">สมมติฐาน!$B$38+A30-1</f>
        <v>2590</v>
      </c>
      <c r="C30" s="23" t="n">
        <f aca="false">สมมติฐาน!$C$7+A30-1</f>
        <v>46</v>
      </c>
      <c r="D30" s="24" t="str">
        <f aca="false">IF(C30&lt;สมมติฐาน!$C$8,"รับราชการ","รับบำนาญ")</f>
        <v>รับราชการ</v>
      </c>
      <c r="E30" s="25" t="n">
        <f aca="false">(1+สมมติฐาน!$B$39)^(A30-1)</f>
        <v>1.51566634389792</v>
      </c>
      <c r="F30" s="26" t="n">
        <f aca="false">IF(D30="รับราชการ",สมมติฐาน!$C$13*(1+สมมติฐาน!$C$15)^(A30-1)*E30,0)</f>
        <v>52779.1513617662</v>
      </c>
      <c r="G30" s="26" t="n">
        <f aca="false">F30*12</f>
        <v>633349.816341194</v>
      </c>
      <c r="H30" s="26" t="n">
        <f aca="false">IF(D30="รับราชการ",IF(A30&gt;=สมมติฐาน!$C$19,สมมติฐาน!$C$18,IF(A30&gt;=สมมติฐาน!$C$17,สมมติฐาน!$C$16,0))*12*E30,0)</f>
        <v>101852.77830994</v>
      </c>
      <c r="I30" s="26" t="n">
        <f aca="false">G30*สมมติฐาน!$C$21</f>
        <v>31667.4908170597</v>
      </c>
      <c r="J30" s="26" t="n">
        <f aca="false">IF(AND(D30="รับราชการ",A30&lt;=สมมติฐาน!$C$23),สมมติฐาน!$C$22*12*E30,0)</f>
        <v>0</v>
      </c>
      <c r="K30" s="26" t="n">
        <f aca="false">IF(AND(D30="รับราชการ",สมมติฐาน!$C$26&gt;0,A30&gt;=สมมติฐาน!$C$29,A30&lt;สมมติฐาน!$C$29+สมมติฐาน!$C$30),สมมติฐาน!$C$28*สมมติฐาน!$C$26*E30,0)</f>
        <v>75783.3171948961</v>
      </c>
      <c r="L30" s="26" t="n">
        <f aca="false">G30*สมมติฐาน!$C$20</f>
        <v>19000.4944902358</v>
      </c>
      <c r="M30" s="25" t="n">
        <f aca="false">(1+สมมติฐาน!$B$39)^(A30-1)*(1+สมมติฐาน!$B$40)^(A30-1)</f>
        <v>2.29724446602489</v>
      </c>
      <c r="N30" s="23" t="n">
        <f aca="false">A30-สมมติฐาน!$C$31</f>
        <v>14</v>
      </c>
      <c r="O30" s="23" t="n">
        <f aca="false">C30+สมมติฐาน!$C$32</f>
        <v>74</v>
      </c>
      <c r="P30" s="26" t="n">
        <f aca="false">(1+สมมติฐาน!$C$25)*สมมติฐาน!$B$37*LOOKUP(C30,สมมติฐาน!$A$59:$A$64,สมมติฐาน!$B$59:$B$64)*สมมติฐาน!$C$34*M30</f>
        <v>64322.845048697</v>
      </c>
      <c r="Q30" s="26" t="n">
        <f aca="false">IF(AND(สมมติฐาน!$C$26&gt;0,N30&gt;=0,N30&lt;=19),สมมติฐาน!$C$26*สมมติฐาน!$B$37*LOOKUP(MAX(N30,0),สมมติฐาน!$A$59:$A$64,สมมติฐาน!$B$59:$B$64)*สมมติฐาน!$C$34*M30,0)</f>
        <v>27566.9335922987</v>
      </c>
      <c r="R30" s="26" t="n">
        <f aca="false">IF(AND(สมมติฐาน!$C$27&gt;0,O30&lt;=สมมติฐาน!$C$33),สมมติฐาน!$C$27*สมมติฐาน!$B$37*LOOKUP(O30,สมมติฐาน!$A$59:$A$64,สมมติฐาน!$B$59:$B$64)*สมมติฐาน!$C$34*M30,0)</f>
        <v>206752.00194224</v>
      </c>
      <c r="S30" s="26" t="n">
        <f aca="false">IF(D30="รับราชการ",0,$AD$6*12*(1+สมมติฐาน!$B$42)^(A30-35-1))</f>
        <v>0</v>
      </c>
      <c r="T30" s="26" t="n">
        <f aca="false">IF(C30=สมมติฐาน!$C$8,$AD$7,0)+IF(C30=65,$AD$9,0)+IF(C30=70,$AD$11,0)+IF(A30=58,$AD$12+$AD$13,0)</f>
        <v>0</v>
      </c>
      <c r="U30" s="26" t="n">
        <f aca="false">G30+H30+I30+J30+K30+L30+P30+Q30+R30+S30+T30</f>
        <v>1160295.67773656</v>
      </c>
      <c r="V30" s="26" t="n">
        <f aca="false">U30/E30</f>
        <v>765535.028476364</v>
      </c>
      <c r="W30" s="25" t="n">
        <f aca="false">1/(1+สมมติฐาน!$B$41)^(A30-1)</f>
        <v>0.659775816772605</v>
      </c>
      <c r="X30" s="26" t="n">
        <f aca="false">V30*W30</f>
        <v>505081.498681033</v>
      </c>
    </row>
    <row r="31" customFormat="false" ht="15" hidden="false" customHeight="true" outlineLevel="0" collapsed="false">
      <c r="A31" s="20" t="n">
        <v>23</v>
      </c>
      <c r="B31" s="20" t="n">
        <f aca="false">สมมติฐาน!$B$38+A31-1</f>
        <v>2591</v>
      </c>
      <c r="C31" s="20" t="n">
        <f aca="false">สมมติฐาน!$C$7+A31-1</f>
        <v>47</v>
      </c>
      <c r="D31" s="21" t="str">
        <f aca="false">IF(C31&lt;สมมติฐาน!$C$8,"รับราชการ","รับบำนาญ")</f>
        <v>รับราชการ</v>
      </c>
      <c r="E31" s="22" t="n">
        <f aca="false">(1+สมมติฐาน!$B$39)^(A31-1)</f>
        <v>1.54597967077588</v>
      </c>
      <c r="F31" s="14" t="n">
        <f aca="false">IF(D31="รับราชการ",สมมติฐาน!$C$13*(1+สมมติฐาน!$C$15)^(A31-1)*E31,0)</f>
        <v>55521.131603132</v>
      </c>
      <c r="G31" s="14" t="n">
        <f aca="false">F31*12</f>
        <v>666253.579237584</v>
      </c>
      <c r="H31" s="14" t="n">
        <f aca="false">IF(D31="รับราชการ",IF(A31&gt;=สมมติฐาน!$C$19,สมมติฐาน!$C$18,IF(A31&gt;=สมมติฐาน!$C$17,สมมติฐาน!$C$16,0))*12*E31,0)</f>
        <v>103889.833876139</v>
      </c>
      <c r="I31" s="14" t="n">
        <f aca="false">G31*สมมติฐาน!$C$21</f>
        <v>33312.6789618792</v>
      </c>
      <c r="J31" s="14" t="n">
        <f aca="false">IF(AND(D31="รับราชการ",A31&lt;=สมมติฐาน!$C$23),สมมติฐาน!$C$22*12*E31,0)</f>
        <v>0</v>
      </c>
      <c r="K31" s="14" t="n">
        <f aca="false">IF(AND(D31="รับราชการ",สมมติฐาน!$C$26&gt;0,A31&gt;=สมมติฐาน!$C$29,A31&lt;สมมติฐาน!$C$29+สมมติฐาน!$C$30),สมมติฐาน!$C$28*สมมติฐาน!$C$26*E31,0)</f>
        <v>77298.983538794</v>
      </c>
      <c r="L31" s="14" t="n">
        <f aca="false">G31*สมมติฐาน!$C$20</f>
        <v>19987.6073771275</v>
      </c>
      <c r="M31" s="22" t="n">
        <f aca="false">(1+สมมติฐาน!$B$39)^(A31-1)*(1+สมมติฐาน!$B$40)^(A31-1)</f>
        <v>2.3900531424523</v>
      </c>
      <c r="N31" s="20" t="n">
        <f aca="false">A31-สมมติฐาน!$C$31</f>
        <v>15</v>
      </c>
      <c r="O31" s="20" t="n">
        <f aca="false">C31+สมมติฐาน!$C$32</f>
        <v>75</v>
      </c>
      <c r="P31" s="14" t="n">
        <f aca="false">(1+สมมติฐาน!$C$25)*สมมติฐาน!$B$37*LOOKUP(C31,สมมติฐาน!$A$59:$A$64,สมมติฐาน!$B$59:$B$64)*สมมติฐาน!$C$34*M31</f>
        <v>66921.4879886644</v>
      </c>
      <c r="Q31" s="14" t="n">
        <f aca="false">IF(AND(สมมติฐาน!$C$26&gt;0,N31&gt;=0,N31&lt;=19),สมมติฐาน!$C$26*สมมติฐาน!$B$37*LOOKUP(MAX(N31,0),สมมติฐาน!$A$59:$A$64,สมมติฐาน!$B$59:$B$64)*สมมติฐาน!$C$34*M31,0)</f>
        <v>28680.6377094276</v>
      </c>
      <c r="R31" s="14" t="n">
        <f aca="false">IF(AND(สมมติฐาน!$C$27&gt;0,O31&lt;=สมมติฐาน!$C$33),สมมติฐาน!$C$27*สมมติฐาน!$B$37*LOOKUP(O31,สมมติฐาน!$A$59:$A$64,สมมติฐาน!$B$59:$B$64)*สมมติฐาน!$C$34*M31,0)</f>
        <v>215104.782820707</v>
      </c>
      <c r="S31" s="14" t="n">
        <f aca="false">IF(D31="รับราชการ",0,$AD$6*12*(1+สมมติฐาน!$B$42)^(A31-35-1))</f>
        <v>0</v>
      </c>
      <c r="T31" s="14" t="n">
        <f aca="false">IF(C31=สมมติฐาน!$C$8,$AD$7,0)+IF(C31=65,$AD$9,0)+IF(C31=70,$AD$11,0)+IF(A31=58,$AD$12+$AD$13,0)</f>
        <v>0</v>
      </c>
      <c r="U31" s="14" t="n">
        <f aca="false">G31+H31+I31+J31+K31+L31+P31+Q31+R31+S31+T31</f>
        <v>1211449.59151032</v>
      </c>
      <c r="V31" s="14" t="n">
        <f aca="false">U31/E31</f>
        <v>783612.88599761</v>
      </c>
      <c r="W31" s="22" t="n">
        <f aca="false">1/(1+สมมติฐาน!$B$41)^(A31-1)</f>
        <v>0.646839036051574</v>
      </c>
      <c r="X31" s="14" t="n">
        <f aca="false">V31*W31</f>
        <v>506871.403816286</v>
      </c>
    </row>
    <row r="32" customFormat="false" ht="15" hidden="false" customHeight="true" outlineLevel="0" collapsed="false">
      <c r="A32" s="23" t="n">
        <v>24</v>
      </c>
      <c r="B32" s="23" t="n">
        <f aca="false">สมมติฐาน!$B$38+A32-1</f>
        <v>2592</v>
      </c>
      <c r="C32" s="23" t="n">
        <f aca="false">สมมติฐาน!$C$7+A32-1</f>
        <v>48</v>
      </c>
      <c r="D32" s="24" t="str">
        <f aca="false">IF(C32&lt;สมมติฐาน!$C$8,"รับราชการ","รับบำนาญ")</f>
        <v>รับราชการ</v>
      </c>
      <c r="E32" s="25" t="n">
        <f aca="false">(1+สมมติฐาน!$B$39)^(A32-1)</f>
        <v>1.5768992641914</v>
      </c>
      <c r="F32" s="26" t="n">
        <f aca="false">IF(D32="รับราชการ",สมมติฐาน!$C$13*(1+สมมติฐาน!$C$15)^(A32-1)*E32,0)</f>
        <v>58405.563086135</v>
      </c>
      <c r="G32" s="26" t="n">
        <f aca="false">F32*12</f>
        <v>700866.757033621</v>
      </c>
      <c r="H32" s="26" t="n">
        <f aca="false">IF(D32="รับราชการ",IF(A32&gt;=สมมติฐาน!$C$19,สมมติฐาน!$C$18,IF(A32&gt;=สมมติฐาน!$C$17,สมมติฐาน!$C$16,0))*12*E32,0)</f>
        <v>105967.630553662</v>
      </c>
      <c r="I32" s="26" t="n">
        <f aca="false">G32*สมมติฐาน!$C$21</f>
        <v>35043.337851681</v>
      </c>
      <c r="J32" s="26" t="n">
        <f aca="false">IF(AND(D32="รับราชการ",A32&lt;=สมมติฐาน!$C$23),สมมติฐาน!$C$22*12*E32,0)</f>
        <v>0</v>
      </c>
      <c r="K32" s="26" t="n">
        <f aca="false">IF(AND(D32="รับราชการ",สมมติฐาน!$C$26&gt;0,A32&gt;=สมมติฐาน!$C$29,A32&lt;สมมติฐาน!$C$29+สมมติฐาน!$C$30),สมมติฐาน!$C$28*สมมติฐาน!$C$26*E32,0)</f>
        <v>78844.9632095699</v>
      </c>
      <c r="L32" s="26" t="n">
        <f aca="false">G32*สมมติฐาน!$C$20</f>
        <v>21026.0027110086</v>
      </c>
      <c r="M32" s="25" t="n">
        <f aca="false">(1+สมมติฐาน!$B$39)^(A32-1)*(1+สมมติฐาน!$B$40)^(A32-1)</f>
        <v>2.48661128940737</v>
      </c>
      <c r="N32" s="23" t="n">
        <f aca="false">A32-สมมติฐาน!$C$31</f>
        <v>16</v>
      </c>
      <c r="O32" s="23" t="n">
        <f aca="false">C32+สมมติฐาน!$C$32</f>
        <v>76</v>
      </c>
      <c r="P32" s="26" t="n">
        <f aca="false">(1+สมมติฐาน!$C$25)*สมมติฐาน!$B$37*LOOKUP(C32,สมมติฐาน!$A$59:$A$64,สมมติฐาน!$B$59:$B$64)*สมมติฐาน!$C$34*M32</f>
        <v>69625.1161034064</v>
      </c>
      <c r="Q32" s="26" t="n">
        <f aca="false">IF(AND(สมมติฐาน!$C$26&gt;0,N32&gt;=0,N32&lt;=19),สมมติฐาน!$C$26*สมมติฐาน!$B$37*LOOKUP(MAX(N32,0),สมมติฐาน!$A$59:$A$64,สมมติฐาน!$B$59:$B$64)*สมมติฐาน!$C$34*M32,0)</f>
        <v>29839.3354728885</v>
      </c>
      <c r="R32" s="26" t="n">
        <f aca="false">IF(AND(สมมติฐาน!$C$27&gt;0,O32&lt;=สมมติฐาน!$C$33),สมมติฐาน!$C$27*สมมติฐาน!$B$37*LOOKUP(O32,สมมติฐาน!$A$59:$A$64,สมมติฐาน!$B$59:$B$64)*สมมติฐาน!$C$34*M32,0)</f>
        <v>223795.016046664</v>
      </c>
      <c r="S32" s="26" t="n">
        <f aca="false">IF(D32="รับราชการ",0,$AD$6*12*(1+สมมติฐาน!$B$42)^(A32-35-1))</f>
        <v>0</v>
      </c>
      <c r="T32" s="26" t="n">
        <f aca="false">IF(C32=สมมติฐาน!$C$8,$AD$7,0)+IF(C32=65,$AD$9,0)+IF(C32=70,$AD$11,0)+IF(A32=58,$AD$12+$AD$13,0)</f>
        <v>0</v>
      </c>
      <c r="U32" s="26" t="n">
        <f aca="false">G32+H32+I32+J32+K32+L32+P32+Q32+R32+S32+T32</f>
        <v>1265008.1589825</v>
      </c>
      <c r="V32" s="26" t="n">
        <f aca="false">U32/E32</f>
        <v>802212.409954526</v>
      </c>
      <c r="W32" s="25" t="n">
        <f aca="false">1/(1+สมมติฐาน!$B$41)^(A32-1)</f>
        <v>0.634155917697621</v>
      </c>
      <c r="X32" s="26" t="n">
        <f aca="false">V32*W32</f>
        <v>508727.747023133</v>
      </c>
    </row>
    <row r="33" customFormat="false" ht="15" hidden="false" customHeight="true" outlineLevel="0" collapsed="false">
      <c r="A33" s="20" t="n">
        <v>25</v>
      </c>
      <c r="B33" s="20" t="n">
        <f aca="false">สมมติฐาน!$B$38+A33-1</f>
        <v>2593</v>
      </c>
      <c r="C33" s="20" t="n">
        <f aca="false">สมมติฐาน!$C$7+A33-1</f>
        <v>49</v>
      </c>
      <c r="D33" s="21" t="str">
        <f aca="false">IF(C33&lt;สมมติฐาน!$C$8,"รับราชการ","รับบำนาญ")</f>
        <v>รับราชการ</v>
      </c>
      <c r="E33" s="22" t="n">
        <f aca="false">(1+สมมติฐาน!$B$39)^(A33-1)</f>
        <v>1.60843724947523</v>
      </c>
      <c r="F33" s="14" t="n">
        <f aca="false">IF(D33="รับราชการ",สมมติฐาน!$C$13*(1+สมมติฐาน!$C$15)^(A33-1)*E33,0)</f>
        <v>61439.8464316615</v>
      </c>
      <c r="G33" s="14" t="n">
        <f aca="false">F33*12</f>
        <v>737278.157179939</v>
      </c>
      <c r="H33" s="14" t="n">
        <f aca="false">IF(D33="รับราชการ",IF(A33&gt;=สมมติฐาน!$C$19,สมมติฐาน!$C$18,IF(A33&gt;=สมมติฐาน!$C$17,สมมติฐาน!$C$16,0))*12*E33,0)</f>
        <v>108086.983164735</v>
      </c>
      <c r="I33" s="14" t="n">
        <f aca="false">G33*สมมติฐาน!$C$21</f>
        <v>36863.9078589969</v>
      </c>
      <c r="J33" s="14" t="n">
        <f aca="false">IF(AND(D33="รับราชการ",A33&lt;=สมมติฐาน!$C$23),สมมติฐาน!$C$22*12*E33,0)</f>
        <v>0</v>
      </c>
      <c r="K33" s="14" t="n">
        <f aca="false">IF(AND(D33="รับราชการ",สมมติฐาน!$C$26&gt;0,A33&gt;=สมมติฐาน!$C$29,A33&lt;สมมติฐาน!$C$29+สมมติฐาน!$C$30),สมมติฐาน!$C$28*สมมติฐาน!$C$26*E33,0)</f>
        <v>80421.8624737613</v>
      </c>
      <c r="L33" s="14" t="n">
        <f aca="false">G33*สมมติฐาน!$C$20</f>
        <v>22118.3447153982</v>
      </c>
      <c r="M33" s="22" t="n">
        <f aca="false">(1+สมมติฐาน!$B$39)^(A33-1)*(1+สมมติฐาน!$B$40)^(A33-1)</f>
        <v>2.58707038549943</v>
      </c>
      <c r="N33" s="20" t="n">
        <f aca="false">A33-สมมติฐาน!$C$31</f>
        <v>17</v>
      </c>
      <c r="O33" s="20" t="n">
        <f aca="false">C33+สมมติฐาน!$C$32</f>
        <v>77</v>
      </c>
      <c r="P33" s="14" t="n">
        <f aca="false">(1+สมมติฐาน!$C$25)*สมมติฐาน!$B$37*LOOKUP(C33,สมมติฐาน!$A$59:$A$64,สมมติฐาน!$B$59:$B$64)*สมมติฐาน!$C$34*M33</f>
        <v>72437.9707939841</v>
      </c>
      <c r="Q33" s="14" t="n">
        <f aca="false">IF(AND(สมมติฐาน!$C$26&gt;0,N33&gt;=0,N33&lt;=19),สมมติฐาน!$C$26*สมมติฐาน!$B$37*LOOKUP(MAX(N33,0),สมมติฐาน!$A$59:$A$64,สมมติฐาน!$B$59:$B$64)*สมมติฐาน!$C$34*M33,0)</f>
        <v>31044.8446259932</v>
      </c>
      <c r="R33" s="14" t="n">
        <f aca="false">IF(AND(สมมติฐาน!$C$27&gt;0,O33&lt;=สมมติฐาน!$C$33),สมมติฐาน!$C$27*สมมติฐาน!$B$37*LOOKUP(O33,สมมติฐาน!$A$59:$A$64,สมมติฐาน!$B$59:$B$64)*สมมติฐาน!$C$34*M33,0)</f>
        <v>232836.334694949</v>
      </c>
      <c r="S33" s="14" t="n">
        <f aca="false">IF(D33="รับราชการ",0,$AD$6*12*(1+สมมติฐาน!$B$42)^(A33-35-1))</f>
        <v>0</v>
      </c>
      <c r="T33" s="14" t="n">
        <f aca="false">IF(C33=สมมติฐาน!$C$8,$AD$7,0)+IF(C33=65,$AD$9,0)+IF(C33=70,$AD$11,0)+IF(A33=58,$AD$12+$AD$13,0)</f>
        <v>0</v>
      </c>
      <c r="U33" s="14" t="n">
        <f aca="false">G33+H33+I33+J33+K33+L33+P33+Q33+R33+S33+T33</f>
        <v>1321088.40550776</v>
      </c>
      <c r="V33" s="14" t="n">
        <f aca="false">U33/E33</f>
        <v>821349.049171038</v>
      </c>
      <c r="W33" s="22" t="n">
        <f aca="false">1/(1+สมมติฐาน!$B$41)^(A33-1)</f>
        <v>0.621721487938845</v>
      </c>
      <c r="X33" s="14" t="n">
        <f aca="false">V33*W33</f>
        <v>510650.352967773</v>
      </c>
    </row>
    <row r="34" customFormat="false" ht="15" hidden="false" customHeight="true" outlineLevel="0" collapsed="false">
      <c r="A34" s="23" t="n">
        <v>26</v>
      </c>
      <c r="B34" s="23" t="n">
        <f aca="false">สมมติฐาน!$B$38+A34-1</f>
        <v>2594</v>
      </c>
      <c r="C34" s="23" t="n">
        <f aca="false">สมมติฐาน!$C$7+A34-1</f>
        <v>50</v>
      </c>
      <c r="D34" s="24" t="str">
        <f aca="false">IF(C34&lt;สมมติฐาน!$C$8,"รับราชการ","รับบำนาญ")</f>
        <v>รับราชการ</v>
      </c>
      <c r="E34" s="25" t="n">
        <f aca="false">(1+สมมติฐาน!$B$39)^(A34-1)</f>
        <v>1.64060599446473</v>
      </c>
      <c r="F34" s="26" t="n">
        <f aca="false">IF(D34="รับราชการ",สมมติฐาน!$C$13*(1+สมมติฐาน!$C$15)^(A34-1)*E34,0)</f>
        <v>64631.7667373413</v>
      </c>
      <c r="G34" s="26" t="n">
        <f aca="false">F34*12</f>
        <v>775581.200848096</v>
      </c>
      <c r="H34" s="26" t="n">
        <f aca="false">IF(D34="รับราชการ",IF(A34&gt;=สมมติฐาน!$C$19,สมมติฐาน!$C$18,IF(A34&gt;=สมมติฐาน!$C$17,สมมติฐาน!$C$16,0))*12*E34,0)</f>
        <v>110248.72282803</v>
      </c>
      <c r="I34" s="26" t="n">
        <f aca="false">G34*สมมติฐาน!$C$21</f>
        <v>38779.0600424048</v>
      </c>
      <c r="J34" s="26" t="n">
        <f aca="false">IF(AND(D34="รับราชการ",A34&lt;=สมมติฐาน!$C$23),สมมติฐาน!$C$22*12*E34,0)</f>
        <v>0</v>
      </c>
      <c r="K34" s="26" t="n">
        <f aca="false">IF(AND(D34="รับราชการ",สมมติฐาน!$C$26&gt;0,A34&gt;=สมมติฐาน!$C$29,A34&lt;สมมติฐาน!$C$29+สมมติฐาน!$C$30),สมมติฐาน!$C$28*สมมติฐาน!$C$26*E34,0)</f>
        <v>0</v>
      </c>
      <c r="L34" s="26" t="n">
        <f aca="false">G34*สมมติฐาน!$C$20</f>
        <v>23267.4360254429</v>
      </c>
      <c r="M34" s="25" t="n">
        <f aca="false">(1+สมมติฐาน!$B$39)^(A34-1)*(1+สมมติฐาน!$B$40)^(A34-1)</f>
        <v>2.69158802907361</v>
      </c>
      <c r="N34" s="23" t="n">
        <f aca="false">A34-สมมติฐาน!$C$31</f>
        <v>18</v>
      </c>
      <c r="O34" s="23" t="n">
        <f aca="false">C34+สมมติฐาน!$C$32</f>
        <v>78</v>
      </c>
      <c r="P34" s="26" t="n">
        <f aca="false">(1+สมมติฐาน!$C$25)*สมมติฐาน!$B$37*LOOKUP(C34,สมมติฐาน!$A$59:$A$64,สมมติฐาน!$B$59:$B$64)*สมมติฐาน!$C$34*M34</f>
        <v>75364.464814061</v>
      </c>
      <c r="Q34" s="26" t="n">
        <f aca="false">IF(AND(สมมติฐาน!$C$26&gt;0,N34&gt;=0,N34&lt;=19),สมมติฐาน!$C$26*สมมติฐาน!$B$37*LOOKUP(MAX(N34,0),สมมติฐาน!$A$59:$A$64,สมมติฐาน!$B$59:$B$64)*สมมติฐาน!$C$34*M34,0)</f>
        <v>32299.0563488833</v>
      </c>
      <c r="R34" s="26" t="n">
        <f aca="false">IF(AND(สมมติฐาน!$C$27&gt;0,O34&lt;=สมมติฐาน!$C$33),สมมติฐาน!$C$27*สมมติฐาน!$B$37*LOOKUP(O34,สมมติฐาน!$A$59:$A$64,สมมติฐาน!$B$59:$B$64)*สมมติฐาน!$C$34*M34,0)</f>
        <v>242242.922616625</v>
      </c>
      <c r="S34" s="26" t="n">
        <f aca="false">IF(D34="รับราชการ",0,$AD$6*12*(1+สมมติฐาน!$B$42)^(A34-35-1))</f>
        <v>0</v>
      </c>
      <c r="T34" s="26" t="n">
        <f aca="false">IF(C34=สมมติฐาน!$C$8,$AD$7,0)+IF(C34=65,$AD$9,0)+IF(C34=70,$AD$11,0)+IF(A34=58,$AD$12+$AD$13,0)</f>
        <v>0</v>
      </c>
      <c r="U34" s="26" t="n">
        <f aca="false">G34+H34+I34+J34+K34+L34+P34+Q34+R34+S34+T34</f>
        <v>1297782.86352354</v>
      </c>
      <c r="V34" s="26" t="n">
        <f aca="false">U34/E34</f>
        <v>791038.718560187</v>
      </c>
      <c r="W34" s="25" t="n">
        <f aca="false">1/(1+สมมติฐาน!$B$41)^(A34-1)</f>
        <v>0.609530870528279</v>
      </c>
      <c r="X34" s="26" t="n">
        <f aca="false">V34*W34</f>
        <v>482162.518745565</v>
      </c>
    </row>
    <row r="35" customFormat="false" ht="15" hidden="false" customHeight="true" outlineLevel="0" collapsed="false">
      <c r="A35" s="20" t="n">
        <v>27</v>
      </c>
      <c r="B35" s="20" t="n">
        <f aca="false">สมมติฐาน!$B$38+A35-1</f>
        <v>2595</v>
      </c>
      <c r="C35" s="20" t="n">
        <f aca="false">สมมติฐาน!$C$7+A35-1</f>
        <v>51</v>
      </c>
      <c r="D35" s="21" t="str">
        <f aca="false">IF(C35&lt;สมมติฐาน!$C$8,"รับราชการ","รับบำนาญ")</f>
        <v>รับราชการ</v>
      </c>
      <c r="E35" s="22" t="n">
        <f aca="false">(1+สมมติฐาน!$B$39)^(A35-1)</f>
        <v>1.67341811435403</v>
      </c>
      <c r="F35" s="14" t="n">
        <f aca="false">IF(D35="รับราชการ",สมมติฐาน!$C$13*(1+สมมติฐาน!$C$15)^(A35-1)*E35,0)</f>
        <v>67989.5135518673</v>
      </c>
      <c r="G35" s="14" t="n">
        <f aca="false">F35*12</f>
        <v>815874.162622408</v>
      </c>
      <c r="H35" s="14" t="n">
        <f aca="false">IF(D35="รับราชการ",IF(A35&gt;=สมมติฐาน!$C$19,สมมติฐาน!$C$18,IF(A35&gt;=สมมติฐาน!$C$17,สมมติฐาน!$C$16,0))*12*E35,0)</f>
        <v>112453.697284591</v>
      </c>
      <c r="I35" s="14" t="n">
        <f aca="false">G35*สมมติฐาน!$C$21</f>
        <v>40793.7081311204</v>
      </c>
      <c r="J35" s="14" t="n">
        <f aca="false">IF(AND(D35="รับราชการ",A35&lt;=สมมติฐาน!$C$23),สมมติฐาน!$C$22*12*E35,0)</f>
        <v>0</v>
      </c>
      <c r="K35" s="14" t="n">
        <f aca="false">IF(AND(D35="รับราชการ",สมมติฐาน!$C$26&gt;0,A35&gt;=สมมติฐาน!$C$29,A35&lt;สมมติฐาน!$C$29+สมมติฐาน!$C$30),สมมติฐาน!$C$28*สมมติฐาน!$C$26*E35,0)</f>
        <v>0</v>
      </c>
      <c r="L35" s="14" t="n">
        <f aca="false">G35*สมมติฐาน!$C$20</f>
        <v>24476.2248786722</v>
      </c>
      <c r="M35" s="22" t="n">
        <f aca="false">(1+สมมติฐาน!$B$39)^(A35-1)*(1+สมมติฐาน!$B$40)^(A35-1)</f>
        <v>2.80032818544818</v>
      </c>
      <c r="N35" s="20" t="n">
        <f aca="false">A35-สมมติฐาน!$C$31</f>
        <v>19</v>
      </c>
      <c r="O35" s="20" t="n">
        <f aca="false">C35+สมมติฐาน!$C$32</f>
        <v>79</v>
      </c>
      <c r="P35" s="14" t="n">
        <f aca="false">(1+สมมติฐาน!$C$25)*สมมติฐาน!$B$37*LOOKUP(C35,สมมติฐาน!$A$59:$A$64,สมมติฐาน!$B$59:$B$64)*สมมติฐาน!$C$34*M35</f>
        <v>78409.1891925491</v>
      </c>
      <c r="Q35" s="14" t="n">
        <f aca="false">IF(AND(สมมติฐาน!$C$26&gt;0,N35&gt;=0,N35&lt;=19),สมมติฐาน!$C$26*สมมติฐาน!$B$37*LOOKUP(MAX(N35,0),สมมติฐาน!$A$59:$A$64,สมมติฐาน!$B$59:$B$64)*สมมติฐาน!$C$34*M35,0)</f>
        <v>33603.9382253782</v>
      </c>
      <c r="R35" s="14" t="n">
        <f aca="false">IF(AND(สมมติฐาน!$C$27&gt;0,O35&lt;=สมมติฐาน!$C$33),สมมติฐาน!$C$27*สมมติฐาน!$B$37*LOOKUP(O35,สมมติฐาน!$A$59:$A$64,สมมติฐาน!$B$59:$B$64)*สมมติฐาน!$C$34*M35,0)</f>
        <v>252029.536690336</v>
      </c>
      <c r="S35" s="14" t="n">
        <f aca="false">IF(D35="รับราชการ",0,$AD$6*12*(1+สมมติฐาน!$B$42)^(A35-35-1))</f>
        <v>0</v>
      </c>
      <c r="T35" s="14" t="n">
        <f aca="false">IF(C35=สมมติฐาน!$C$8,$AD$7,0)+IF(C35=65,$AD$9,0)+IF(C35=70,$AD$11,0)+IF(A35=58,$AD$12+$AD$13,0)</f>
        <v>0</v>
      </c>
      <c r="U35" s="14" t="n">
        <f aca="false">G35+H35+I35+J35+K35+L35+P35+Q35+R35+S35+T35</f>
        <v>1357640.45702505</v>
      </c>
      <c r="V35" s="14" t="n">
        <f aca="false">U35/E35</f>
        <v>811297.813367541</v>
      </c>
      <c r="W35" s="22" t="n">
        <f aca="false">1/(1+สมมติฐาน!$B$41)^(A35-1)</f>
        <v>0.597579284831646</v>
      </c>
      <c r="X35" s="14" t="n">
        <f aca="false">V35*W35</f>
        <v>484814.767097653</v>
      </c>
    </row>
    <row r="36" customFormat="false" ht="15" hidden="false" customHeight="true" outlineLevel="0" collapsed="false">
      <c r="A36" s="23" t="n">
        <v>28</v>
      </c>
      <c r="B36" s="23" t="n">
        <f aca="false">สมมติฐาน!$B$38+A36-1</f>
        <v>2596</v>
      </c>
      <c r="C36" s="23" t="n">
        <f aca="false">สมมติฐาน!$C$7+A36-1</f>
        <v>52</v>
      </c>
      <c r="D36" s="24" t="str">
        <f aca="false">IF(C36&lt;สมมติฐาน!$C$8,"รับราชการ","รับบำนาญ")</f>
        <v>รับราชการ</v>
      </c>
      <c r="E36" s="25" t="n">
        <f aca="false">(1+สมมติฐาน!$B$39)^(A36-1)</f>
        <v>1.70688647664111</v>
      </c>
      <c r="F36" s="26" t="n">
        <f aca="false">IF(D36="รับราชการ",สมมติฐาน!$C$13*(1+สมมติฐาน!$C$15)^(A36-1)*E36,0)</f>
        <v>71521.7018870201</v>
      </c>
      <c r="G36" s="26" t="n">
        <f aca="false">F36*12</f>
        <v>858260.422644242</v>
      </c>
      <c r="H36" s="26" t="n">
        <f aca="false">IF(D36="รับราชการ",IF(A36&gt;=สมมติฐาน!$C$19,สมมติฐาน!$C$18,IF(A36&gt;=สมมติฐาน!$C$17,สมมติฐาน!$C$16,0))*12*E36,0)</f>
        <v>114702.771230282</v>
      </c>
      <c r="I36" s="26" t="n">
        <f aca="false">G36*สมมติฐาน!$C$21</f>
        <v>42913.0211322121</v>
      </c>
      <c r="J36" s="26" t="n">
        <f aca="false">IF(AND(D36="รับราชการ",A36&lt;=สมมติฐาน!$C$23),สมมติฐาน!$C$22*12*E36,0)</f>
        <v>0</v>
      </c>
      <c r="K36" s="26" t="n">
        <f aca="false">IF(AND(D36="รับราชการ",สมมติฐาน!$C$26&gt;0,A36&gt;=สมมติฐาน!$C$29,A36&lt;สมมติฐาน!$C$29+สมมติฐาน!$C$30),สมมติฐาน!$C$28*สมมติฐาน!$C$26*E36,0)</f>
        <v>0</v>
      </c>
      <c r="L36" s="26" t="n">
        <f aca="false">G36*สมมติฐาน!$C$20</f>
        <v>25747.8126793273</v>
      </c>
      <c r="M36" s="25" t="n">
        <f aca="false">(1+สมมติฐาน!$B$39)^(A36-1)*(1+สมมติฐาน!$B$40)^(A36-1)</f>
        <v>2.91346144414029</v>
      </c>
      <c r="N36" s="23" t="n">
        <f aca="false">A36-สมมติฐาน!$C$31</f>
        <v>20</v>
      </c>
      <c r="O36" s="23" t="n">
        <f aca="false">C36+สมมติฐาน!$C$32</f>
        <v>80</v>
      </c>
      <c r="P36" s="26" t="n">
        <f aca="false">(1+สมมติฐาน!$C$25)*สมมติฐาน!$B$37*LOOKUP(C36,สมมติฐาน!$A$59:$A$64,สมมติฐาน!$B$59:$B$64)*สมมติฐาน!$C$34*M36</f>
        <v>81576.9204359281</v>
      </c>
      <c r="Q36" s="26" t="n">
        <f aca="false">IF(AND(สมมติฐาน!$C$26&gt;0,N36&gt;=0,N36&lt;=19),สมมติฐาน!$C$26*สมมติฐาน!$B$37*LOOKUP(MAX(N36,0),สมมติฐาน!$A$59:$A$64,สมมติฐาน!$B$59:$B$64)*สมมติฐาน!$C$34*M36,0)</f>
        <v>0</v>
      </c>
      <c r="R36" s="26" t="n">
        <f aca="false">IF(AND(สมมติฐาน!$C$27&gt;0,O36&lt;=สมมติฐาน!$C$33),สมมติฐาน!$C$27*สมมติฐาน!$B$37*LOOKUP(O36,สมมติฐาน!$A$59:$A$64,สมมติฐาน!$B$59:$B$64)*สมมติฐาน!$C$34*M36,0)</f>
        <v>349615.373296835</v>
      </c>
      <c r="S36" s="26" t="n">
        <f aca="false">IF(D36="รับราชการ",0,$AD$6*12*(1+สมมติฐาน!$B$42)^(A36-35-1))</f>
        <v>0</v>
      </c>
      <c r="T36" s="26" t="n">
        <f aca="false">IF(C36=สมมติฐาน!$C$8,$AD$7,0)+IF(C36=65,$AD$9,0)+IF(C36=70,$AD$11,0)+IF(A36=58,$AD$12+$AD$13,0)</f>
        <v>0</v>
      </c>
      <c r="U36" s="26" t="n">
        <f aca="false">G36+H36+I36+J36+K36+L36+P36+Q36+R36+S36+T36</f>
        <v>1472816.32141883</v>
      </c>
      <c r="V36" s="26" t="n">
        <f aca="false">U36/E36</f>
        <v>862867.180433174</v>
      </c>
      <c r="W36" s="25" t="n">
        <f aca="false">1/(1+สมมติฐาน!$B$41)^(A36-1)</f>
        <v>0.585862043952594</v>
      </c>
      <c r="X36" s="26" t="n">
        <f aca="false">V36*W36</f>
        <v>505521.129988191</v>
      </c>
    </row>
    <row r="37" customFormat="false" ht="15" hidden="false" customHeight="true" outlineLevel="0" collapsed="false">
      <c r="A37" s="20" t="n">
        <v>29</v>
      </c>
      <c r="B37" s="20" t="n">
        <f aca="false">สมมติฐาน!$B$38+A37-1</f>
        <v>2597</v>
      </c>
      <c r="C37" s="20" t="n">
        <f aca="false">สมมติฐาน!$C$7+A37-1</f>
        <v>53</v>
      </c>
      <c r="D37" s="21" t="str">
        <f aca="false">IF(C37&lt;สมมติฐาน!$C$8,"รับราชการ","รับบำนาญ")</f>
        <v>รับราชการ</v>
      </c>
      <c r="E37" s="22" t="n">
        <f aca="false">(1+สมมติฐาน!$B$39)^(A37-1)</f>
        <v>1.74102420617393</v>
      </c>
      <c r="F37" s="14" t="n">
        <f aca="false">IF(D37="รับราชการ",สมมติฐาน!$C$13*(1+สมมติฐาน!$C$15)^(A37-1)*E37,0)</f>
        <v>75237.3943213084</v>
      </c>
      <c r="G37" s="14" t="n">
        <f aca="false">F37*12</f>
        <v>902848.7318557</v>
      </c>
      <c r="H37" s="14" t="n">
        <f aca="false">IF(D37="รับราชการ",IF(A37&gt;=สมมติฐาน!$C$19,สมมติฐาน!$C$18,IF(A37&gt;=สมมติฐาน!$C$17,สมมติฐาน!$C$16,0))*12*E37,0)</f>
        <v>116996.826654888</v>
      </c>
      <c r="I37" s="14" t="n">
        <f aca="false">G37*สมมติฐาน!$C$21</f>
        <v>45142.436592785</v>
      </c>
      <c r="J37" s="14" t="n">
        <f aca="false">IF(AND(D37="รับราชการ",A37&lt;=สมมติฐาน!$C$23),สมมติฐาน!$C$22*12*E37,0)</f>
        <v>0</v>
      </c>
      <c r="K37" s="14" t="n">
        <f aca="false">IF(AND(D37="รับราชการ",สมมติฐาน!$C$26&gt;0,A37&gt;=สมมติฐาน!$C$29,A37&lt;สมมติฐาน!$C$29+สมมติฐาน!$C$30),สมมติฐาน!$C$28*สมมติฐาน!$C$26*E37,0)</f>
        <v>0</v>
      </c>
      <c r="L37" s="14" t="n">
        <f aca="false">G37*สมมติฐาน!$C$20</f>
        <v>27085.461955671</v>
      </c>
      <c r="M37" s="22" t="n">
        <f aca="false">(1+สมมติฐาน!$B$39)^(A37-1)*(1+สมมติฐาน!$B$40)^(A37-1)</f>
        <v>3.03116528648356</v>
      </c>
      <c r="N37" s="20" t="n">
        <f aca="false">A37-สมมติฐาน!$C$31</f>
        <v>21</v>
      </c>
      <c r="O37" s="20" t="n">
        <f aca="false">C37+สมมติฐาน!$C$32</f>
        <v>81</v>
      </c>
      <c r="P37" s="14" t="n">
        <f aca="false">(1+สมมติฐาน!$C$25)*สมมติฐาน!$B$37*LOOKUP(C37,สมมติฐาน!$A$59:$A$64,สมมติฐาน!$B$59:$B$64)*สมมติฐาน!$C$34*M37</f>
        <v>84872.6280215396</v>
      </c>
      <c r="Q37" s="14" t="n">
        <f aca="false">IF(AND(สมมติฐาน!$C$26&gt;0,N37&gt;=0,N37&lt;=19),สมมติฐาน!$C$26*สมมติฐาน!$B$37*LOOKUP(MAX(N37,0),สมมติฐาน!$A$59:$A$64,สมมติฐาน!$B$59:$B$64)*สมมติฐาน!$C$34*M37,0)</f>
        <v>0</v>
      </c>
      <c r="R37" s="14" t="n">
        <f aca="false">IF(AND(สมมติฐาน!$C$27&gt;0,O37&lt;=สมมติฐาน!$C$33),สมมติฐาน!$C$27*สมมติฐาน!$B$37*LOOKUP(O37,สมมติฐาน!$A$59:$A$64,สมมติฐาน!$B$59:$B$64)*สมมติฐาน!$C$34*M37,0)</f>
        <v>363739.834378027</v>
      </c>
      <c r="S37" s="14" t="n">
        <f aca="false">IF(D37="รับราชการ",0,$AD$6*12*(1+สมมติฐาน!$B$42)^(A37-35-1))</f>
        <v>0</v>
      </c>
      <c r="T37" s="14" t="n">
        <f aca="false">IF(C37=สมมติฐาน!$C$8,$AD$7,0)+IF(C37=65,$AD$9,0)+IF(C37=70,$AD$11,0)+IF(A37=58,$AD$12+$AD$13,0)</f>
        <v>0</v>
      </c>
      <c r="U37" s="14" t="n">
        <f aca="false">G37+H37+I37+J37+K37+L37+P37+Q37+R37+S37+T37</f>
        <v>1540685.91945861</v>
      </c>
      <c r="V37" s="14" t="n">
        <f aca="false">U37/E37</f>
        <v>884930.786140199</v>
      </c>
      <c r="W37" s="22" t="n">
        <f aca="false">1/(1+สมมติฐาน!$B$41)^(A37-1)</f>
        <v>0.5743745528947</v>
      </c>
      <c r="X37" s="14" t="n">
        <f aca="false">V37*W37</f>
        <v>508281.724632032</v>
      </c>
    </row>
    <row r="38" customFormat="false" ht="15" hidden="false" customHeight="true" outlineLevel="0" collapsed="false">
      <c r="A38" s="23" t="n">
        <v>30</v>
      </c>
      <c r="B38" s="23" t="n">
        <f aca="false">สมมติฐาน!$B$38+A38-1</f>
        <v>2598</v>
      </c>
      <c r="C38" s="23" t="n">
        <f aca="false">สมมติฐาน!$C$7+A38-1</f>
        <v>54</v>
      </c>
      <c r="D38" s="24" t="str">
        <f aca="false">IF(C38&lt;สมมติฐาน!$C$8,"รับราชการ","รับบำนาญ")</f>
        <v>รับราชการ</v>
      </c>
      <c r="E38" s="25" t="n">
        <f aca="false">(1+สมมติฐาน!$B$39)^(A38-1)</f>
        <v>1.77584469029741</v>
      </c>
      <c r="F38" s="26" t="n">
        <f aca="false">IF(D38="รับราชการ",สมมติฐาน!$C$13*(1+สมมติฐาน!$C$15)^(A38-1)*E38,0)</f>
        <v>79146.1242519363</v>
      </c>
      <c r="G38" s="26" t="n">
        <f aca="false">F38*12</f>
        <v>949753.491023236</v>
      </c>
      <c r="H38" s="26" t="n">
        <f aca="false">IF(D38="รับราชการ",IF(A38&gt;=สมมติฐาน!$C$19,สมมติฐาน!$C$18,IF(A38&gt;=สมมติฐาน!$C$17,สมมติฐาน!$C$16,0))*12*E38,0)</f>
        <v>119336.763187986</v>
      </c>
      <c r="I38" s="26" t="n">
        <f aca="false">G38*สมมติฐาน!$C$21</f>
        <v>47487.6745511618</v>
      </c>
      <c r="J38" s="26" t="n">
        <f aca="false">IF(AND(D38="รับราชการ",A38&lt;=สมมติฐาน!$C$23),สมมติฐาน!$C$22*12*E38,0)</f>
        <v>0</v>
      </c>
      <c r="K38" s="26" t="n">
        <f aca="false">IF(AND(D38="รับราชการ",สมมติฐาน!$C$26&gt;0,A38&gt;=สมมติฐาน!$C$29,A38&lt;สมมติฐาน!$C$29+สมมติฐาน!$C$30),สมมติฐาน!$C$28*สมมติฐาน!$C$26*E38,0)</f>
        <v>0</v>
      </c>
      <c r="L38" s="26" t="n">
        <f aca="false">G38*สมมติฐาน!$C$20</f>
        <v>28492.6047306971</v>
      </c>
      <c r="M38" s="25" t="n">
        <f aca="false">(1+สมมติฐาน!$B$39)^(A38-1)*(1+สมมติฐาน!$B$40)^(A38-1)</f>
        <v>3.15362436405749</v>
      </c>
      <c r="N38" s="23" t="n">
        <f aca="false">A38-สมมติฐาน!$C$31</f>
        <v>22</v>
      </c>
      <c r="O38" s="23" t="n">
        <f aca="false">C38+สมมติฐาน!$C$32</f>
        <v>82</v>
      </c>
      <c r="P38" s="26" t="n">
        <f aca="false">(1+สมมติฐาน!$C$25)*สมมติฐาน!$B$37*LOOKUP(C38,สมมติฐาน!$A$59:$A$64,สมมติฐาน!$B$59:$B$64)*สมมติฐาน!$C$34*M38</f>
        <v>88301.4821936098</v>
      </c>
      <c r="Q38" s="26" t="n">
        <f aca="false">IF(AND(สมมติฐาน!$C$26&gt;0,N38&gt;=0,N38&lt;=19),สมมติฐาน!$C$26*สมมติฐาน!$B$37*LOOKUP(MAX(N38,0),สมมติฐาน!$A$59:$A$64,สมมติฐาน!$B$59:$B$64)*สมมติฐาน!$C$34*M38,0)</f>
        <v>0</v>
      </c>
      <c r="R38" s="26" t="n">
        <f aca="false">IF(AND(สมมติฐาน!$C$27&gt;0,O38&lt;=สมมติฐาน!$C$33),สมมติฐาน!$C$27*สมมติฐาน!$B$37*LOOKUP(O38,สมมติฐาน!$A$59:$A$64,สมมติฐาน!$B$59:$B$64)*สมมติฐาน!$C$34*M38,0)</f>
        <v>378434.923686899</v>
      </c>
      <c r="S38" s="26" t="n">
        <f aca="false">IF(D38="รับราชการ",0,$AD$6*12*(1+สมมติฐาน!$B$42)^(A38-35-1))</f>
        <v>0</v>
      </c>
      <c r="T38" s="26" t="n">
        <f aca="false">IF(C38=สมมติฐาน!$C$8,$AD$7,0)+IF(C38=65,$AD$9,0)+IF(C38=70,$AD$11,0)+IF(A38=58,$AD$12+$AD$13,0)</f>
        <v>0</v>
      </c>
      <c r="U38" s="26" t="n">
        <f aca="false">G38+H38+I38+J38+K38+L38+P38+Q38+R38+S38+T38</f>
        <v>1611806.93937359</v>
      </c>
      <c r="V38" s="26" t="n">
        <f aca="false">U38/E38</f>
        <v>907628.323681647</v>
      </c>
      <c r="W38" s="25" t="n">
        <f aca="false">1/(1+สมมติฐาน!$B$41)^(A38-1)</f>
        <v>0.56311230675951</v>
      </c>
      <c r="X38" s="26" t="n">
        <f aca="false">V38*W38</f>
        <v>511096.679028639</v>
      </c>
    </row>
    <row r="39" customFormat="false" ht="15" hidden="false" customHeight="true" outlineLevel="0" collapsed="false">
      <c r="A39" s="20" t="n">
        <v>31</v>
      </c>
      <c r="B39" s="20" t="n">
        <f aca="false">สมมติฐาน!$B$38+A39-1</f>
        <v>2599</v>
      </c>
      <c r="C39" s="20" t="n">
        <f aca="false">สมมติฐาน!$C$7+A39-1</f>
        <v>55</v>
      </c>
      <c r="D39" s="21" t="str">
        <f aca="false">IF(C39&lt;สมมติฐาน!$C$8,"รับราชการ","รับบำนาญ")</f>
        <v>รับราชการ</v>
      </c>
      <c r="E39" s="22" t="n">
        <f aca="false">(1+สมมติฐาน!$B$39)^(A39-1)</f>
        <v>1.81136158410335</v>
      </c>
      <c r="F39" s="14" t="n">
        <f aca="false">IF(D39="รับราชการ",สมมติฐาน!$C$13*(1+สมมติฐาน!$C$15)^(A39-1)*E39,0)</f>
        <v>83257.9203547571</v>
      </c>
      <c r="G39" s="14" t="n">
        <f aca="false">F39*12</f>
        <v>999095.044257085</v>
      </c>
      <c r="H39" s="14" t="n">
        <f aca="false">IF(D39="รับราชการ",IF(A39&gt;=สมมติฐาน!$C$19,สมมติฐาน!$C$18,IF(A39&gt;=สมมติฐาน!$C$17,สมมติฐาน!$C$16,0))*12*E39,0)</f>
        <v>121723.498451745</v>
      </c>
      <c r="I39" s="14" t="n">
        <f aca="false">G39*สมมติฐาน!$C$21</f>
        <v>49954.7522128542</v>
      </c>
      <c r="J39" s="14" t="n">
        <f aca="false">IF(AND(D39="รับราชการ",A39&lt;=สมมติฐาน!$C$23),สมมติฐาน!$C$22*12*E39,0)</f>
        <v>0</v>
      </c>
      <c r="K39" s="14" t="n">
        <f aca="false">IF(AND(D39="รับราชการ",สมมติฐาน!$C$26&gt;0,A39&gt;=สมมติฐาน!$C$29,A39&lt;สมมติฐาน!$C$29+สมมติฐาน!$C$30),สมมติฐาน!$C$28*สมมติฐาน!$C$26*E39,0)</f>
        <v>0</v>
      </c>
      <c r="L39" s="14" t="n">
        <f aca="false">G39*สมมติฐาน!$C$20</f>
        <v>29972.8513277125</v>
      </c>
      <c r="M39" s="22" t="n">
        <f aca="false">(1+สมมติฐาน!$B$39)^(A39-1)*(1+สมมติฐาน!$B$40)^(A39-1)</f>
        <v>3.28103078836542</v>
      </c>
      <c r="N39" s="20" t="n">
        <f aca="false">A39-สมมติฐาน!$C$31</f>
        <v>23</v>
      </c>
      <c r="O39" s="20" t="n">
        <f aca="false">C39+สมมติฐาน!$C$32</f>
        <v>83</v>
      </c>
      <c r="P39" s="14" t="n">
        <f aca="false">(1+สมมติฐาน!$C$25)*สมมติฐาน!$B$37*LOOKUP(C39,สมมติฐาน!$A$59:$A$64,สมมติฐาน!$B$59:$B$64)*สมมติฐาน!$C$34*M39</f>
        <v>91868.8620742316</v>
      </c>
      <c r="Q39" s="14" t="n">
        <f aca="false">IF(AND(สมมติฐาน!$C$26&gt;0,N39&gt;=0,N39&lt;=19),สมมติฐาน!$C$26*สมมติฐาน!$B$37*LOOKUP(MAX(N39,0),สมมติฐาน!$A$59:$A$64,สมมติฐาน!$B$59:$B$64)*สมมติฐาน!$C$34*M39,0)</f>
        <v>0</v>
      </c>
      <c r="R39" s="14" t="n">
        <f aca="false">IF(AND(สมมติฐาน!$C$27&gt;0,O39&lt;=สมมติฐาน!$C$33),สมมติฐาน!$C$27*สมมติฐาน!$B$37*LOOKUP(O39,สมมติฐาน!$A$59:$A$64,สมมติฐาน!$B$59:$B$64)*สมมติฐาน!$C$34*M39,0)</f>
        <v>0</v>
      </c>
      <c r="S39" s="14" t="n">
        <f aca="false">IF(D39="รับราชการ",0,$AD$6*12*(1+สมมติฐาน!$B$42)^(A39-35-1))</f>
        <v>0</v>
      </c>
      <c r="T39" s="14" t="n">
        <f aca="false">IF(C39=สมมติฐาน!$C$8,$AD$7,0)+IF(C39=65,$AD$9,0)+IF(C39=70,$AD$11,0)+IF(A39=58,$AD$12+$AD$13,0)</f>
        <v>0</v>
      </c>
      <c r="U39" s="14" t="n">
        <f aca="false">G39+H39+I39+J39+K39+L39+P39+Q39+R39+S39+T39</f>
        <v>1292615.00832363</v>
      </c>
      <c r="V39" s="14" t="n">
        <f aca="false">U39/E39</f>
        <v>713615.116754002</v>
      </c>
      <c r="W39" s="22" t="n">
        <f aca="false">1/(1+สมมติฐาน!$B$41)^(A39-1)</f>
        <v>0.552070888979912</v>
      </c>
      <c r="X39" s="14" t="n">
        <f aca="false">V39*W39</f>
        <v>393966.131895885</v>
      </c>
    </row>
    <row r="40" customFormat="false" ht="15" hidden="false" customHeight="true" outlineLevel="0" collapsed="false">
      <c r="A40" s="23" t="n">
        <v>32</v>
      </c>
      <c r="B40" s="23" t="n">
        <f aca="false">สมมติฐาน!$B$38+A40-1</f>
        <v>2600</v>
      </c>
      <c r="C40" s="23" t="n">
        <f aca="false">สมมติฐาน!$C$7+A40-1</f>
        <v>56</v>
      </c>
      <c r="D40" s="24" t="str">
        <f aca="false">IF(C40&lt;สมมติฐาน!$C$8,"รับราชการ","รับบำนาญ")</f>
        <v>รับราชการ</v>
      </c>
      <c r="E40" s="25" t="n">
        <f aca="false">(1+สมมติฐาน!$B$39)^(A40-1)</f>
        <v>1.84758881578542</v>
      </c>
      <c r="F40" s="26" t="n">
        <f aca="false">IF(D40="รับราชการ",สมมติฐาน!$C$13*(1+สมมติฐาน!$C$15)^(A40-1)*E40,0)</f>
        <v>87583.3323149678</v>
      </c>
      <c r="G40" s="26" t="n">
        <f aca="false">F40*12</f>
        <v>1050999.98777961</v>
      </c>
      <c r="H40" s="26" t="n">
        <f aca="false">IF(D40="รับราชการ",IF(A40&gt;=สมมติฐาน!$C$19,สมมติฐาน!$C$18,IF(A40&gt;=สมมติฐาน!$C$17,สมมติฐาน!$C$16,0))*12*E40,0)</f>
        <v>124157.96842078</v>
      </c>
      <c r="I40" s="26" t="n">
        <f aca="false">G40*สมมติฐาน!$C$21</f>
        <v>52549.9993889807</v>
      </c>
      <c r="J40" s="26" t="n">
        <f aca="false">IF(AND(D40="รับราชการ",A40&lt;=สมมติฐาน!$C$23),สมมติฐาน!$C$22*12*E40,0)</f>
        <v>0</v>
      </c>
      <c r="K40" s="26" t="n">
        <f aca="false">IF(AND(D40="รับราชการ",สมมติฐาน!$C$26&gt;0,A40&gt;=สมมติฐาน!$C$29,A40&lt;สมมติฐาน!$C$29+สมมติฐาน!$C$30),สมมติฐาน!$C$28*สมมติฐาน!$C$26*E40,0)</f>
        <v>0</v>
      </c>
      <c r="L40" s="26" t="n">
        <f aca="false">G40*สมมติฐาน!$C$20</f>
        <v>31529.9996333884</v>
      </c>
      <c r="M40" s="25" t="n">
        <f aca="false">(1+สมมติฐาน!$B$39)^(A40-1)*(1+สมมติฐาน!$B$40)^(A40-1)</f>
        <v>3.41358443221538</v>
      </c>
      <c r="N40" s="23" t="n">
        <f aca="false">A40-สมมติฐาน!$C$31</f>
        <v>24</v>
      </c>
      <c r="O40" s="23" t="n">
        <f aca="false">C40+สมมติฐาน!$C$32</f>
        <v>84</v>
      </c>
      <c r="P40" s="26" t="n">
        <f aca="false">(1+สมมติฐาน!$C$25)*สมมติฐาน!$B$37*LOOKUP(C40,สมมติฐาน!$A$59:$A$64,สมมติฐาน!$B$59:$B$64)*สมมติฐาน!$C$34*M40</f>
        <v>95580.3641020306</v>
      </c>
      <c r="Q40" s="26" t="n">
        <f aca="false">IF(AND(สมมติฐาน!$C$26&gt;0,N40&gt;=0,N40&lt;=19),สมมติฐาน!$C$26*สมมติฐาน!$B$37*LOOKUP(MAX(N40,0),สมมติฐาน!$A$59:$A$64,สมมติฐาน!$B$59:$B$64)*สมมติฐาน!$C$34*M40,0)</f>
        <v>0</v>
      </c>
      <c r="R40" s="26" t="n">
        <f aca="false">IF(AND(สมมติฐาน!$C$27&gt;0,O40&lt;=สมมติฐาน!$C$33),สมมติฐาน!$C$27*สมมติฐาน!$B$37*LOOKUP(O40,สมมติฐาน!$A$59:$A$64,สมมติฐาน!$B$59:$B$64)*สมมติฐาน!$C$34*M40,0)</f>
        <v>0</v>
      </c>
      <c r="S40" s="26" t="n">
        <f aca="false">IF(D40="รับราชการ",0,$AD$6*12*(1+สมมติฐาน!$B$42)^(A40-35-1))</f>
        <v>0</v>
      </c>
      <c r="T40" s="26" t="n">
        <f aca="false">IF(C40=สมมติฐาน!$C$8,$AD$7,0)+IF(C40=65,$AD$9,0)+IF(C40=70,$AD$11,0)+IF(A40=58,$AD$12+$AD$13,0)</f>
        <v>0</v>
      </c>
      <c r="U40" s="26" t="n">
        <f aca="false">G40+H40+I40+J40+K40+L40+P40+Q40+R40+S40+T40</f>
        <v>1354818.31932479</v>
      </c>
      <c r="V40" s="26" t="n">
        <f aca="false">U40/E40</f>
        <v>733289.954858734</v>
      </c>
      <c r="W40" s="25" t="n">
        <f aca="false">1/(1+สมมติฐาน!$B$41)^(A40-1)</f>
        <v>0.541245969588149</v>
      </c>
      <c r="X40" s="26" t="n">
        <f aca="false">V40*W40</f>
        <v>396890.232606765</v>
      </c>
    </row>
    <row r="41" customFormat="false" ht="15" hidden="false" customHeight="true" outlineLevel="0" collapsed="false">
      <c r="A41" s="20" t="n">
        <v>33</v>
      </c>
      <c r="B41" s="20" t="n">
        <f aca="false">สมมติฐาน!$B$38+A41-1</f>
        <v>2601</v>
      </c>
      <c r="C41" s="20" t="n">
        <f aca="false">สมมติฐาน!$C$7+A41-1</f>
        <v>57</v>
      </c>
      <c r="D41" s="21" t="str">
        <f aca="false">IF(C41&lt;สมมติฐาน!$C$8,"รับราชการ","รับบำนาญ")</f>
        <v>รับราชการ</v>
      </c>
      <c r="E41" s="22" t="n">
        <f aca="false">(1+สมมติฐาน!$B$39)^(A41-1)</f>
        <v>1.88454059210113</v>
      </c>
      <c r="F41" s="14" t="n">
        <f aca="false">IF(D41="รับราชการ",สมมติฐาน!$C$13*(1+สมมติฐาน!$C$15)^(A41-1)*E41,0)</f>
        <v>92133.4578945653</v>
      </c>
      <c r="G41" s="14" t="n">
        <f aca="false">F41*12</f>
        <v>1105601.49473478</v>
      </c>
      <c r="H41" s="14" t="n">
        <f aca="false">IF(D41="รับราชการ",IF(A41&gt;=สมมติฐาน!$C$19,สมมติฐาน!$C$18,IF(A41&gt;=สมมติฐาน!$C$17,สมมติฐาน!$C$16,0))*12*E41,0)</f>
        <v>126641.127789196</v>
      </c>
      <c r="I41" s="14" t="n">
        <f aca="false">G41*สมมติฐาน!$C$21</f>
        <v>55280.0747367392</v>
      </c>
      <c r="J41" s="14" t="n">
        <f aca="false">IF(AND(D41="รับราชการ",A41&lt;=สมมติฐาน!$C$23),สมมติฐาน!$C$22*12*E41,0)</f>
        <v>0</v>
      </c>
      <c r="K41" s="14" t="n">
        <f aca="false">IF(AND(D41="รับราชการ",สมมติฐาน!$C$26&gt;0,A41&gt;=สมมติฐาน!$C$29,A41&lt;สมมติฐาน!$C$29+สมมติฐาน!$C$30),สมมติฐาน!$C$28*สมมติฐาน!$C$26*E41,0)</f>
        <v>0</v>
      </c>
      <c r="L41" s="14" t="n">
        <f aca="false">G41*สมมติฐาน!$C$20</f>
        <v>33168.0448420435</v>
      </c>
      <c r="M41" s="22" t="n">
        <f aca="false">(1+สมมติฐาน!$B$39)^(A41-1)*(1+สมมติฐาน!$B$40)^(A41-1)</f>
        <v>3.55149324327688</v>
      </c>
      <c r="N41" s="20" t="n">
        <f aca="false">A41-สมมติฐาน!$C$31</f>
        <v>25</v>
      </c>
      <c r="O41" s="20" t="n">
        <f aca="false">C41+สมมติฐาน!$C$32</f>
        <v>85</v>
      </c>
      <c r="P41" s="14" t="n">
        <f aca="false">(1+สมมติฐาน!$C$25)*สมมติฐาน!$B$37*LOOKUP(C41,สมมติฐาน!$A$59:$A$64,สมมติฐาน!$B$59:$B$64)*สมมติฐาน!$C$34*M41</f>
        <v>99441.8108117526</v>
      </c>
      <c r="Q41" s="14" t="n">
        <f aca="false">IF(AND(สมมติฐาน!$C$26&gt;0,N41&gt;=0,N41&lt;=19),สมมติฐาน!$C$26*สมมติฐาน!$B$37*LOOKUP(MAX(N41,0),สมมติฐาน!$A$59:$A$64,สมมติฐาน!$B$59:$B$64)*สมมติฐาน!$C$34*M41,0)</f>
        <v>0</v>
      </c>
      <c r="R41" s="14" t="n">
        <f aca="false">IF(AND(สมมติฐาน!$C$27&gt;0,O41&lt;=สมมติฐาน!$C$33),สมมติฐาน!$C$27*สมมติฐาน!$B$37*LOOKUP(O41,สมมติฐาน!$A$59:$A$64,สมมติฐาน!$B$59:$B$64)*สมมติฐาน!$C$34*M41,0)</f>
        <v>0</v>
      </c>
      <c r="S41" s="14" t="n">
        <f aca="false">IF(D41="รับราชการ",0,$AD$6*12*(1+สมมติฐาน!$B$42)^(A41-35-1))</f>
        <v>0</v>
      </c>
      <c r="T41" s="14" t="n">
        <f aca="false">IF(C41=สมมติฐาน!$C$8,$AD$7,0)+IF(C41=65,$AD$9,0)+IF(C41=70,$AD$11,0)+IF(A41=58,$AD$12+$AD$13,0)</f>
        <v>0</v>
      </c>
      <c r="U41" s="14" t="n">
        <f aca="false">G41+H41+I41+J41+K41+L41+P41+Q41+R41+S41+T41</f>
        <v>1420132.55291451</v>
      </c>
      <c r="V41" s="14" t="n">
        <f aca="false">U41/E41</f>
        <v>753569.627986186</v>
      </c>
      <c r="W41" s="22" t="n">
        <f aca="false">1/(1+สมมติฐาน!$B$41)^(A41-1)</f>
        <v>0.530633303517793</v>
      </c>
      <c r="X41" s="14" t="n">
        <f aca="false">V41*W41</f>
        <v>399869.141128984</v>
      </c>
    </row>
    <row r="42" customFormat="false" ht="15" hidden="false" customHeight="true" outlineLevel="0" collapsed="false">
      <c r="A42" s="23" t="n">
        <v>34</v>
      </c>
      <c r="B42" s="23" t="n">
        <f aca="false">สมมติฐาน!$B$38+A42-1</f>
        <v>2602</v>
      </c>
      <c r="C42" s="23" t="n">
        <f aca="false">สมมติฐาน!$C$7+A42-1</f>
        <v>58</v>
      </c>
      <c r="D42" s="24" t="str">
        <f aca="false">IF(C42&lt;สมมติฐาน!$C$8,"รับราชการ","รับบำนาญ")</f>
        <v>รับราชการ</v>
      </c>
      <c r="E42" s="25" t="n">
        <f aca="false">(1+สมมติฐาน!$B$39)^(A42-1)</f>
        <v>1.92223140394315</v>
      </c>
      <c r="F42" s="26" t="n">
        <f aca="false">IF(D42="รับราชการ",สมมติฐาน!$C$13*(1+สมมติฐาน!$C$15)^(A42-1)*E42,0)</f>
        <v>96919.9714060087</v>
      </c>
      <c r="G42" s="26" t="n">
        <f aca="false">F42*12</f>
        <v>1163039.6568721</v>
      </c>
      <c r="H42" s="26" t="n">
        <f aca="false">IF(D42="รับราชการ",IF(A42&gt;=สมมติฐาน!$C$19,สมมติฐาน!$C$18,IF(A42&gt;=สมมติฐาน!$C$17,สมมติฐาน!$C$16,0))*12*E42,0)</f>
        <v>129173.95034498</v>
      </c>
      <c r="I42" s="26" t="n">
        <f aca="false">G42*สมมติฐาน!$C$21</f>
        <v>58151.9828436052</v>
      </c>
      <c r="J42" s="26" t="n">
        <f aca="false">IF(AND(D42="รับราชการ",A42&lt;=สมมติฐาน!$C$23),สมมติฐาน!$C$22*12*E42,0)</f>
        <v>0</v>
      </c>
      <c r="K42" s="26" t="n">
        <f aca="false">IF(AND(D42="รับราชการ",สมมติฐาน!$C$26&gt;0,A42&gt;=สมมติฐาน!$C$29,A42&lt;สมมติฐาน!$C$29+สมมติฐาน!$C$30),สมมติฐาน!$C$28*สมมติฐาน!$C$26*E42,0)</f>
        <v>0</v>
      </c>
      <c r="L42" s="26" t="n">
        <f aca="false">G42*สมมติฐาน!$C$20</f>
        <v>34891.1897061631</v>
      </c>
      <c r="M42" s="25" t="n">
        <f aca="false">(1+สมมติฐาน!$B$39)^(A42-1)*(1+สมมติฐาน!$B$40)^(A42-1)</f>
        <v>3.69497357030527</v>
      </c>
      <c r="N42" s="23" t="n">
        <f aca="false">A42-สมมติฐาน!$C$31</f>
        <v>26</v>
      </c>
      <c r="O42" s="23" t="n">
        <f aca="false">C42+สมมติฐาน!$C$32</f>
        <v>86</v>
      </c>
      <c r="P42" s="26" t="n">
        <f aca="false">(1+สมมติฐาน!$C$25)*สมมติฐาน!$B$37*LOOKUP(C42,สมมติฐาน!$A$59:$A$64,สมมติฐาน!$B$59:$B$64)*สมมติฐาน!$C$34*M42</f>
        <v>103459.259968547</v>
      </c>
      <c r="Q42" s="26" t="n">
        <f aca="false">IF(AND(สมมติฐาน!$C$26&gt;0,N42&gt;=0,N42&lt;=19),สมมติฐาน!$C$26*สมมติฐาน!$B$37*LOOKUP(MAX(N42,0),สมมติฐาน!$A$59:$A$64,สมมติฐาน!$B$59:$B$64)*สมมติฐาน!$C$34*M42,0)</f>
        <v>0</v>
      </c>
      <c r="R42" s="26" t="n">
        <f aca="false">IF(AND(สมมติฐาน!$C$27&gt;0,O42&lt;=สมมติฐาน!$C$33),สมมติฐาน!$C$27*สมมติฐาน!$B$37*LOOKUP(O42,สมมติฐาน!$A$59:$A$64,สมมติฐาน!$B$59:$B$64)*สมมติฐาน!$C$34*M42,0)</f>
        <v>0</v>
      </c>
      <c r="S42" s="26" t="n">
        <f aca="false">IF(D42="รับราชการ",0,$AD$6*12*(1+สมมติฐาน!$B$42)^(A42-35-1))</f>
        <v>0</v>
      </c>
      <c r="T42" s="26" t="n">
        <f aca="false">IF(C42=สมมติฐาน!$C$8,$AD$7,0)+IF(C42=65,$AD$9,0)+IF(C42=70,$AD$11,0)+IF(A42=58,$AD$12+$AD$13,0)</f>
        <v>0</v>
      </c>
      <c r="U42" s="26" t="n">
        <f aca="false">G42+H42+I42+J42+K42+L42+P42+Q42+R42+S42+T42</f>
        <v>1488716.0397354</v>
      </c>
      <c r="V42" s="26" t="n">
        <f aca="false">U42/E42</f>
        <v>774472.853102667</v>
      </c>
      <c r="W42" s="25" t="n">
        <f aca="false">1/(1+สมมติฐาน!$B$41)^(A42-1)</f>
        <v>0.520228728939013</v>
      </c>
      <c r="X42" s="26" t="n">
        <f aca="false">V42*W42</f>
        <v>402903.027967371</v>
      </c>
    </row>
    <row r="43" customFormat="false" ht="15" hidden="false" customHeight="true" outlineLevel="0" collapsed="false">
      <c r="A43" s="20" t="n">
        <v>35</v>
      </c>
      <c r="B43" s="20" t="n">
        <f aca="false">สมมติฐาน!$B$38+A43-1</f>
        <v>2603</v>
      </c>
      <c r="C43" s="20" t="n">
        <f aca="false">สมมติฐาน!$C$7+A43-1</f>
        <v>59</v>
      </c>
      <c r="D43" s="21" t="str">
        <f aca="false">IF(C43&lt;สมมติฐาน!$C$8,"รับราชการ","รับบำนาญ")</f>
        <v>รับราชการ</v>
      </c>
      <c r="E43" s="22" t="n">
        <f aca="false">(1+สมมติฐาน!$B$39)^(A43-1)</f>
        <v>1.96067603202202</v>
      </c>
      <c r="F43" s="14" t="n">
        <f aca="false">IF(D43="รับราชการ",สมมติฐาน!$C$13*(1+สมมติฐาน!$C$15)^(A43-1)*E43,0)</f>
        <v>101955.153665145</v>
      </c>
      <c r="G43" s="14" t="n">
        <f aca="false">F43*12</f>
        <v>1223461.84398174</v>
      </c>
      <c r="H43" s="14" t="n">
        <f aca="false">IF(D43="รับราชการ",IF(A43&gt;=สมมติฐาน!$C$19,สมมติฐาน!$C$18,IF(A43&gt;=สมมติฐาน!$C$17,สมมติฐาน!$C$16,0))*12*E43,0)</f>
        <v>131757.42935188</v>
      </c>
      <c r="I43" s="14" t="n">
        <f aca="false">G43*สมมติฐาน!$C$21</f>
        <v>61173.0921990868</v>
      </c>
      <c r="J43" s="14" t="n">
        <f aca="false">IF(AND(D43="รับราชการ",A43&lt;=สมมติฐาน!$C$23),สมมติฐาน!$C$22*12*E43,0)</f>
        <v>0</v>
      </c>
      <c r="K43" s="14" t="n">
        <f aca="false">IF(AND(D43="รับราชการ",สมมติฐาน!$C$26&gt;0,A43&gt;=สมมติฐาน!$C$29,A43&lt;สมมติฐาน!$C$29+สมมติฐาน!$C$30),สมมติฐาน!$C$28*สมมติฐาน!$C$26*E43,0)</f>
        <v>0</v>
      </c>
      <c r="L43" s="14" t="n">
        <f aca="false">G43*สมมติฐาน!$C$20</f>
        <v>36703.8553194521</v>
      </c>
      <c r="M43" s="22" t="n">
        <f aca="false">(1+สมมติฐาน!$B$39)^(A43-1)*(1+สมมติฐาน!$B$40)^(A43-1)</f>
        <v>3.8442505025456</v>
      </c>
      <c r="N43" s="20" t="n">
        <f aca="false">A43-สมมติฐาน!$C$31</f>
        <v>27</v>
      </c>
      <c r="O43" s="20" t="n">
        <f aca="false">C43+สมมติฐาน!$C$32</f>
        <v>87</v>
      </c>
      <c r="P43" s="14" t="n">
        <f aca="false">(1+สมมติฐาน!$C$25)*สมมติฐาน!$B$37*LOOKUP(C43,สมมติฐาน!$A$59:$A$64,สมมติฐาน!$B$59:$B$64)*สมมติฐาน!$C$34*M43</f>
        <v>107639.014071277</v>
      </c>
      <c r="Q43" s="14" t="n">
        <f aca="false">IF(AND(สมมติฐาน!$C$26&gt;0,N43&gt;=0,N43&lt;=19),สมมติฐาน!$C$26*สมมติฐาน!$B$37*LOOKUP(MAX(N43,0),สมมติฐาน!$A$59:$A$64,สมมติฐาน!$B$59:$B$64)*สมมติฐาน!$C$34*M43,0)</f>
        <v>0</v>
      </c>
      <c r="R43" s="14" t="n">
        <f aca="false">IF(AND(สมมติฐาน!$C$27&gt;0,O43&lt;=สมมติฐาน!$C$33),สมมติฐาน!$C$27*สมมติฐาน!$B$37*LOOKUP(O43,สมมติฐาน!$A$59:$A$64,สมมติฐาน!$B$59:$B$64)*สมมติฐาน!$C$34*M43,0)</f>
        <v>0</v>
      </c>
      <c r="S43" s="14" t="n">
        <f aca="false">IF(D43="รับราชการ",0,$AD$6*12*(1+สมมติฐาน!$B$42)^(A43-35-1))</f>
        <v>0</v>
      </c>
      <c r="T43" s="14" t="n">
        <f aca="false">IF(C43=สมมติฐาน!$C$8,$AD$7,0)+IF(C43=65,$AD$9,0)+IF(C43=70,$AD$11,0)+IF(A43=58,$AD$12+$AD$13,0)</f>
        <v>0</v>
      </c>
      <c r="U43" s="14" t="n">
        <f aca="false">G43+H43+I43+J43+K43+L43+P43+Q43+R43+S43+T43</f>
        <v>1560735.23492343</v>
      </c>
      <c r="V43" s="14" t="n">
        <f aca="false">U43/E43</f>
        <v>796018.928896615</v>
      </c>
      <c r="W43" s="22" t="n">
        <f aca="false">1/(1+สมมติฐาน!$B$41)^(A43-1)</f>
        <v>0.510028165626483</v>
      </c>
      <c r="X43" s="14" t="n">
        <f aca="false">V43*W43</f>
        <v>405992.074109098</v>
      </c>
    </row>
    <row r="44" customFormat="false" ht="15" hidden="false" customHeight="true" outlineLevel="0" collapsed="false">
      <c r="A44" s="23" t="n">
        <v>36</v>
      </c>
      <c r="B44" s="23" t="n">
        <f aca="false">สมมติฐาน!$B$38+A44-1</f>
        <v>2604</v>
      </c>
      <c r="C44" s="23" t="n">
        <f aca="false">สมมติฐาน!$C$7+A44-1</f>
        <v>60</v>
      </c>
      <c r="D44" s="24" t="str">
        <f aca="false">IF(C44&lt;สมมติฐาน!$C$8,"รับราชการ","รับบำนาญ")</f>
        <v>รับบำนาญ</v>
      </c>
      <c r="E44" s="25" t="n">
        <f aca="false">(1+สมมติฐาน!$B$39)^(A44-1)</f>
        <v>1.99988955266246</v>
      </c>
      <c r="F44" s="26" t="n">
        <f aca="false">IF(D44="รับราชการ",สมมติฐาน!$C$13*(1+สมมติฐาน!$C$15)^(A44-1)*E44,0)</f>
        <v>0</v>
      </c>
      <c r="G44" s="26" t="n">
        <f aca="false">F44*12</f>
        <v>0</v>
      </c>
      <c r="H44" s="26" t="n">
        <f aca="false">IF(D44="รับราชการ",IF(A44&gt;=สมมติฐาน!$C$19,สมมติฐาน!$C$18,IF(A44&gt;=สมมติฐาน!$C$17,สมมติฐาน!$C$16,0))*12*E44,0)</f>
        <v>0</v>
      </c>
      <c r="I44" s="26" t="n">
        <f aca="false">G44*สมมติฐาน!$C$21</f>
        <v>0</v>
      </c>
      <c r="J44" s="26" t="n">
        <f aca="false">IF(AND(D44="รับราชการ",A44&lt;=สมมติฐาน!$C$23),สมมติฐาน!$C$22*12*E44,0)</f>
        <v>0</v>
      </c>
      <c r="K44" s="26" t="n">
        <f aca="false">IF(AND(D44="รับราชการ",สมมติฐาน!$C$26&gt;0,A44&gt;=สมมติฐาน!$C$29,A44&lt;สมมติฐาน!$C$29+สมมติฐาน!$C$30),สมมติฐาน!$C$28*สมมติฐาน!$C$26*E44,0)</f>
        <v>0</v>
      </c>
      <c r="L44" s="26" t="n">
        <f aca="false">G44*สมมติฐาน!$C$20</f>
        <v>0</v>
      </c>
      <c r="M44" s="25" t="n">
        <f aca="false">(1+สมมติฐาน!$B$39)^(A44-1)*(1+สมมติฐาน!$B$40)^(A44-1)</f>
        <v>3.99955822284844</v>
      </c>
      <c r="N44" s="23" t="n">
        <f aca="false">A44-สมมติฐาน!$C$31</f>
        <v>28</v>
      </c>
      <c r="O44" s="23" t="n">
        <f aca="false">C44+สมมติฐาน!$C$32</f>
        <v>88</v>
      </c>
      <c r="P44" s="26" t="n">
        <f aca="false">(1+สมมติฐาน!$C$25)*สมมติฐาน!$B$37*LOOKUP(C44,สมมติฐาน!$A$59:$A$64,สมมติฐาน!$B$59:$B$64)*สมมติฐาน!$C$34*M44</f>
        <v>223975.260479513</v>
      </c>
      <c r="Q44" s="26" t="n">
        <f aca="false">IF(AND(สมมติฐาน!$C$26&gt;0,N44&gt;=0,N44&lt;=19),สมมติฐาน!$C$26*สมมติฐาน!$B$37*LOOKUP(MAX(N44,0),สมมติฐาน!$A$59:$A$64,สมมติฐาน!$B$59:$B$64)*สมมติฐาน!$C$34*M44,0)</f>
        <v>0</v>
      </c>
      <c r="R44" s="26" t="n">
        <f aca="false">IF(AND(สมมติฐาน!$C$27&gt;0,O44&lt;=สมมติฐาน!$C$33),สมมติฐาน!$C$27*สมมติฐาน!$B$37*LOOKUP(O44,สมมติฐาน!$A$59:$A$64,สมมติฐาน!$B$59:$B$64)*สมมติฐาน!$C$34*M44,0)</f>
        <v>0</v>
      </c>
      <c r="S44" s="26" t="n">
        <f aca="false">IF(D44="รับราชการ",0,$AD$6*12*(1+สมมติฐาน!$B$42)^(A44-35-1))</f>
        <v>775907.723867545</v>
      </c>
      <c r="T44" s="26" t="n">
        <f aca="false">IF(C44=สมมติฐาน!$C$8,$AD$7,0)+IF(C44=65,$AD$9,0)+IF(C44=70,$AD$11,0)+IF(A44=58,$AD$12+$AD$13,0)</f>
        <v>200000</v>
      </c>
      <c r="U44" s="26" t="n">
        <f aca="false">G44+H44+I44+J44+K44+L44+P44+Q44+R44+S44+T44</f>
        <v>1199882.98434706</v>
      </c>
      <c r="V44" s="26" t="n">
        <f aca="false">U44/E44</f>
        <v>599974.62497349</v>
      </c>
      <c r="W44" s="25" t="n">
        <f aca="false">1/(1+สมมติฐาน!$B$41)^(A44-1)</f>
        <v>0.500027613359297</v>
      </c>
      <c r="X44" s="26" t="n">
        <f aca="false">V44*W44</f>
        <v>300003.879801633</v>
      </c>
    </row>
    <row r="45" customFormat="false" ht="15" hidden="false" customHeight="true" outlineLevel="0" collapsed="false">
      <c r="A45" s="20" t="n">
        <v>37</v>
      </c>
      <c r="B45" s="20" t="n">
        <f aca="false">สมมติฐาน!$B$38+A45-1</f>
        <v>2605</v>
      </c>
      <c r="C45" s="20" t="n">
        <f aca="false">สมมติฐาน!$C$7+A45-1</f>
        <v>61</v>
      </c>
      <c r="D45" s="21" t="str">
        <f aca="false">IF(C45&lt;สมมติฐาน!$C$8,"รับราชการ","รับบำนาญ")</f>
        <v>รับบำนาญ</v>
      </c>
      <c r="E45" s="22" t="n">
        <f aca="false">(1+สมมติฐาน!$B$39)^(A45-1)</f>
        <v>2.03988734371571</v>
      </c>
      <c r="F45" s="14" t="n">
        <f aca="false">IF(D45="รับราชการ",สมมติฐาน!$C$13*(1+สมมติฐาน!$C$15)^(A45-1)*E45,0)</f>
        <v>0</v>
      </c>
      <c r="G45" s="14" t="n">
        <f aca="false">F45*12</f>
        <v>0</v>
      </c>
      <c r="H45" s="14" t="n">
        <f aca="false">IF(D45="รับราชการ",IF(A45&gt;=สมมติฐาน!$C$19,สมมติฐาน!$C$18,IF(A45&gt;=สมมติฐาน!$C$17,สมมติฐาน!$C$16,0))*12*E45,0)</f>
        <v>0</v>
      </c>
      <c r="I45" s="14" t="n">
        <f aca="false">G45*สมมติฐาน!$C$21</f>
        <v>0</v>
      </c>
      <c r="J45" s="14" t="n">
        <f aca="false">IF(AND(D45="รับราชการ",A45&lt;=สมมติฐาน!$C$23),สมมติฐาน!$C$22*12*E45,0)</f>
        <v>0</v>
      </c>
      <c r="K45" s="14" t="n">
        <f aca="false">IF(AND(D45="รับราชการ",สมมติฐาน!$C$26&gt;0,A45&gt;=สมมติฐาน!$C$29,A45&lt;สมมติฐาน!$C$29+สมมติฐาน!$C$30),สมมติฐาน!$C$28*สมมติฐาน!$C$26*E45,0)</f>
        <v>0</v>
      </c>
      <c r="L45" s="14" t="n">
        <f aca="false">G45*สมมติฐาน!$C$20</f>
        <v>0</v>
      </c>
      <c r="M45" s="22" t="n">
        <f aca="false">(1+สมมติฐาน!$B$39)^(A45-1)*(1+สมมติฐาน!$B$40)^(A45-1)</f>
        <v>4.16114037505152</v>
      </c>
      <c r="N45" s="20" t="n">
        <f aca="false">A45-สมมติฐาน!$C$31</f>
        <v>29</v>
      </c>
      <c r="O45" s="20" t="n">
        <f aca="false">C45+สมมติฐาน!$C$32</f>
        <v>89</v>
      </c>
      <c r="P45" s="14" t="n">
        <f aca="false">(1+สมมติฐาน!$C$25)*สมมติฐาน!$B$37*LOOKUP(C45,สมมติฐาน!$A$59:$A$64,สมมติฐาน!$B$59:$B$64)*สมมติฐาน!$C$34*M45</f>
        <v>233023.861002885</v>
      </c>
      <c r="Q45" s="14" t="n">
        <f aca="false">IF(AND(สมมติฐาน!$C$26&gt;0,N45&gt;=0,N45&lt;=19),สมมติฐาน!$C$26*สมมติฐาน!$B$37*LOOKUP(MAX(N45,0),สมมติฐาน!$A$59:$A$64,สมมติฐาน!$B$59:$B$64)*สมมติฐาน!$C$34*M45,0)</f>
        <v>0</v>
      </c>
      <c r="R45" s="14" t="n">
        <f aca="false">IF(AND(สมมติฐาน!$C$27&gt;0,O45&lt;=สมมติฐาน!$C$33),สมมติฐาน!$C$27*สมมติฐาน!$B$37*LOOKUP(O45,สมมติฐาน!$A$59:$A$64,สมมติฐาน!$B$59:$B$64)*สมมติฐาน!$C$34*M45,0)</f>
        <v>0</v>
      </c>
      <c r="S45" s="14" t="n">
        <f aca="false">IF(D45="รับราชการ",0,$AD$6*12*(1+สมมติฐาน!$B$42)^(A45-35-1))</f>
        <v>783666.80110622</v>
      </c>
      <c r="T45" s="14" t="n">
        <f aca="false">IF(C45=สมมติฐาน!$C$8,$AD$7,0)+IF(C45=65,$AD$9,0)+IF(C45=70,$AD$11,0)+IF(A45=58,$AD$12+$AD$13,0)</f>
        <v>0</v>
      </c>
      <c r="U45" s="14" t="n">
        <f aca="false">G45+H45+I45+J45+K45+L45+P45+Q45+R45+S45+T45</f>
        <v>1016690.66210911</v>
      </c>
      <c r="V45" s="14" t="n">
        <f aca="false">U45/E45</f>
        <v>498405.299312842</v>
      </c>
      <c r="W45" s="22" t="n">
        <f aca="false">1/(1+สมมติฐาน!$B$41)^(A45-1)</f>
        <v>0.490223150352252</v>
      </c>
      <c r="X45" s="14" t="n">
        <f aca="false">V45*W45</f>
        <v>244329.815981399</v>
      </c>
    </row>
    <row r="46" customFormat="false" ht="15" hidden="false" customHeight="true" outlineLevel="0" collapsed="false">
      <c r="A46" s="23" t="n">
        <v>38</v>
      </c>
      <c r="B46" s="23" t="n">
        <f aca="false">สมมติฐาน!$B$38+A46-1</f>
        <v>2606</v>
      </c>
      <c r="C46" s="23" t="n">
        <f aca="false">สมมติฐาน!$C$7+A46-1</f>
        <v>62</v>
      </c>
      <c r="D46" s="24" t="str">
        <f aca="false">IF(C46&lt;สมมติฐาน!$C$8,"รับราชการ","รับบำนาญ")</f>
        <v>รับบำนาญ</v>
      </c>
      <c r="E46" s="25" t="n">
        <f aca="false">(1+สมมติฐาน!$B$39)^(A46-1)</f>
        <v>2.08068509059002</v>
      </c>
      <c r="F46" s="26" t="n">
        <f aca="false">IF(D46="รับราชการ",สมมติฐาน!$C$13*(1+สมมติฐาน!$C$15)^(A46-1)*E46,0)</f>
        <v>0</v>
      </c>
      <c r="G46" s="26" t="n">
        <f aca="false">F46*12</f>
        <v>0</v>
      </c>
      <c r="H46" s="26" t="n">
        <f aca="false">IF(D46="รับราชการ",IF(A46&gt;=สมมติฐาน!$C$19,สมมติฐาน!$C$18,IF(A46&gt;=สมมติฐาน!$C$17,สมมติฐาน!$C$16,0))*12*E46,0)</f>
        <v>0</v>
      </c>
      <c r="I46" s="26" t="n">
        <f aca="false">G46*สมมติฐาน!$C$21</f>
        <v>0</v>
      </c>
      <c r="J46" s="26" t="n">
        <f aca="false">IF(AND(D46="รับราชการ",A46&lt;=สมมติฐาน!$C$23),สมมติฐาน!$C$22*12*E46,0)</f>
        <v>0</v>
      </c>
      <c r="K46" s="26" t="n">
        <f aca="false">IF(AND(D46="รับราชการ",สมมติฐาน!$C$26&gt;0,A46&gt;=สมมติฐาน!$C$29,A46&lt;สมมติฐาน!$C$29+สมมติฐาน!$C$30),สมมติฐาน!$C$28*สมมติฐาน!$C$26*E46,0)</f>
        <v>0</v>
      </c>
      <c r="L46" s="26" t="n">
        <f aca="false">G46*สมมติฐาน!$C$20</f>
        <v>0</v>
      </c>
      <c r="M46" s="25" t="n">
        <f aca="false">(1+สมมติฐาน!$B$39)^(A46-1)*(1+สมมติฐาน!$B$40)^(A46-1)</f>
        <v>4.3292504462036</v>
      </c>
      <c r="N46" s="23" t="n">
        <f aca="false">A46-สมมติฐาน!$C$31</f>
        <v>30</v>
      </c>
      <c r="O46" s="23" t="n">
        <f aca="false">C46+สมมติฐาน!$C$32</f>
        <v>90</v>
      </c>
      <c r="P46" s="26" t="n">
        <f aca="false">(1+สมมติฐาน!$C$25)*สมมติฐาน!$B$37*LOOKUP(C46,สมมติฐาน!$A$59:$A$64,สมมติฐาน!$B$59:$B$64)*สมมติฐาน!$C$34*M46</f>
        <v>242438.024987402</v>
      </c>
      <c r="Q46" s="26" t="n">
        <f aca="false">IF(AND(สมมติฐาน!$C$26&gt;0,N46&gt;=0,N46&lt;=19),สมมติฐาน!$C$26*สมมติฐาน!$B$37*LOOKUP(MAX(N46,0),สมมติฐาน!$A$59:$A$64,สมมติฐาน!$B$59:$B$64)*สมมติฐาน!$C$34*M46,0)</f>
        <v>0</v>
      </c>
      <c r="R46" s="26" t="n">
        <f aca="false">IF(AND(สมมติฐาน!$C$27&gt;0,O46&lt;=สมมติฐาน!$C$33),สมมติฐาน!$C$27*สมมติฐาน!$B$37*LOOKUP(O46,สมมติฐาน!$A$59:$A$64,สมมติฐาน!$B$59:$B$64)*สมมติฐาน!$C$34*M46,0)</f>
        <v>0</v>
      </c>
      <c r="S46" s="26" t="n">
        <f aca="false">IF(D46="รับราชการ",0,$AD$6*12*(1+สมมติฐาน!$B$42)^(A46-35-1))</f>
        <v>791503.469117282</v>
      </c>
      <c r="T46" s="26" t="n">
        <f aca="false">IF(C46=สมมติฐาน!$C$8,$AD$7,0)+IF(C46=65,$AD$9,0)+IF(C46=70,$AD$11,0)+IF(A46=58,$AD$12+$AD$13,0)</f>
        <v>0</v>
      </c>
      <c r="U46" s="26" t="n">
        <f aca="false">G46+H46+I46+J46+K46+L46+P46+Q46+R46+S46+T46</f>
        <v>1033941.49410468</v>
      </c>
      <c r="V46" s="26" t="n">
        <f aca="false">U46/E46</f>
        <v>496923.584823443</v>
      </c>
      <c r="W46" s="25" t="n">
        <f aca="false">1/(1+สมมติฐาน!$B$41)^(A46-1)</f>
        <v>0.480610931717894</v>
      </c>
      <c r="X46" s="26" t="n">
        <f aca="false">V46*W46</f>
        <v>238826.907094591</v>
      </c>
    </row>
    <row r="47" customFormat="false" ht="15" hidden="false" customHeight="true" outlineLevel="0" collapsed="false">
      <c r="A47" s="20" t="n">
        <v>39</v>
      </c>
      <c r="B47" s="20" t="n">
        <f aca="false">สมมติฐาน!$B$38+A47-1</f>
        <v>2607</v>
      </c>
      <c r="C47" s="20" t="n">
        <f aca="false">สมมติฐาน!$C$7+A47-1</f>
        <v>63</v>
      </c>
      <c r="D47" s="21" t="str">
        <f aca="false">IF(C47&lt;สมมติฐาน!$C$8,"รับราชการ","รับบำนาญ")</f>
        <v>รับบำนาญ</v>
      </c>
      <c r="E47" s="22" t="n">
        <f aca="false">(1+สมมติฐาน!$B$39)^(A47-1)</f>
        <v>2.12229879240182</v>
      </c>
      <c r="F47" s="14" t="n">
        <f aca="false">IF(D47="รับราชการ",สมมติฐาน!$C$13*(1+สมมติฐาน!$C$15)^(A47-1)*E47,0)</f>
        <v>0</v>
      </c>
      <c r="G47" s="14" t="n">
        <f aca="false">F47*12</f>
        <v>0</v>
      </c>
      <c r="H47" s="14" t="n">
        <f aca="false">IF(D47="รับราชการ",IF(A47&gt;=สมมติฐาน!$C$19,สมมติฐาน!$C$18,IF(A47&gt;=สมมติฐาน!$C$17,สมมติฐาน!$C$16,0))*12*E47,0)</f>
        <v>0</v>
      </c>
      <c r="I47" s="14" t="n">
        <f aca="false">G47*สมมติฐาน!$C$21</f>
        <v>0</v>
      </c>
      <c r="J47" s="14" t="n">
        <f aca="false">IF(AND(D47="รับราชการ",A47&lt;=สมมติฐาน!$C$23),สมมติฐาน!$C$22*12*E47,0)</f>
        <v>0</v>
      </c>
      <c r="K47" s="14" t="n">
        <f aca="false">IF(AND(D47="รับราชการ",สมมติฐาน!$C$26&gt;0,A47&gt;=สมมติฐาน!$C$29,A47&lt;สมมติฐาน!$C$29+สมมติฐาน!$C$30),สมมติฐาน!$C$28*สมมติฐาน!$C$26*E47,0)</f>
        <v>0</v>
      </c>
      <c r="L47" s="14" t="n">
        <f aca="false">G47*สมมติฐาน!$C$20</f>
        <v>0</v>
      </c>
      <c r="M47" s="22" t="n">
        <f aca="false">(1+สมมติฐาน!$B$39)^(A47-1)*(1+สมมติฐาน!$B$40)^(A47-1)</f>
        <v>4.50415216423022</v>
      </c>
      <c r="N47" s="20" t="n">
        <f aca="false">A47-สมมติฐาน!$C$31</f>
        <v>31</v>
      </c>
      <c r="O47" s="20" t="n">
        <f aca="false">C47+สมมติฐาน!$C$32</f>
        <v>91</v>
      </c>
      <c r="P47" s="14" t="n">
        <f aca="false">(1+สมมติฐาน!$C$25)*สมมติฐาน!$B$37*LOOKUP(C47,สมมติฐาน!$A$59:$A$64,สมมติฐาน!$B$59:$B$64)*สมมติฐาน!$C$34*M47</f>
        <v>252232.521196893</v>
      </c>
      <c r="Q47" s="14" t="n">
        <f aca="false">IF(AND(สมมติฐาน!$C$26&gt;0,N47&gt;=0,N47&lt;=19),สมมติฐาน!$C$26*สมมติฐาน!$B$37*LOOKUP(MAX(N47,0),สมมติฐาน!$A$59:$A$64,สมมติฐาน!$B$59:$B$64)*สมมติฐาน!$C$34*M47,0)</f>
        <v>0</v>
      </c>
      <c r="R47" s="14" t="n">
        <f aca="false">IF(AND(สมมติฐาน!$C$27&gt;0,O47&lt;=สมมติฐาน!$C$33),สมมติฐาน!$C$27*สมมติฐาน!$B$37*LOOKUP(O47,สมมติฐาน!$A$59:$A$64,สมมติฐาน!$B$59:$B$64)*สมมติฐาน!$C$34*M47,0)</f>
        <v>0</v>
      </c>
      <c r="S47" s="14" t="n">
        <f aca="false">IF(D47="รับราชการ",0,$AD$6*12*(1+สมมติฐาน!$B$42)^(A47-35-1))</f>
        <v>799418.503808455</v>
      </c>
      <c r="T47" s="14" t="n">
        <f aca="false">IF(C47=สมมติฐาน!$C$8,$AD$7,0)+IF(C47=65,$AD$9,0)+IF(C47=70,$AD$11,0)+IF(A47=58,$AD$12+$AD$13,0)</f>
        <v>0</v>
      </c>
      <c r="U47" s="14" t="n">
        <f aca="false">G47+H47+I47+J47+K47+L47+P47+Q47+R47+S47+T47</f>
        <v>1051651.02500535</v>
      </c>
      <c r="V47" s="14" t="n">
        <f aca="false">U47/E47</f>
        <v>495524.489186175</v>
      </c>
      <c r="W47" s="22" t="n">
        <f aca="false">1/(1+สมมติฐาน!$B$41)^(A47-1)</f>
        <v>0.47118718795872</v>
      </c>
      <c r="X47" s="14" t="n">
        <f aca="false">V47*W47</f>
        <v>233484.790624315</v>
      </c>
    </row>
    <row r="48" customFormat="false" ht="15" hidden="false" customHeight="true" outlineLevel="0" collapsed="false">
      <c r="A48" s="23" t="n">
        <v>40</v>
      </c>
      <c r="B48" s="23" t="n">
        <f aca="false">สมมติฐาน!$B$38+A48-1</f>
        <v>2608</v>
      </c>
      <c r="C48" s="23" t="n">
        <f aca="false">สมมติฐาน!$C$7+A48-1</f>
        <v>64</v>
      </c>
      <c r="D48" s="24" t="str">
        <f aca="false">IF(C48&lt;สมมติฐาน!$C$8,"รับราชการ","รับบำนาญ")</f>
        <v>รับบำนาญ</v>
      </c>
      <c r="E48" s="25" t="n">
        <f aca="false">(1+สมมติฐาน!$B$39)^(A48-1)</f>
        <v>2.16474476824986</v>
      </c>
      <c r="F48" s="26" t="n">
        <f aca="false">IF(D48="รับราชการ",สมมติฐาน!$C$13*(1+สมมติฐาน!$C$15)^(A48-1)*E48,0)</f>
        <v>0</v>
      </c>
      <c r="G48" s="26" t="n">
        <f aca="false">F48*12</f>
        <v>0</v>
      </c>
      <c r="H48" s="26" t="n">
        <f aca="false">IF(D48="รับราชการ",IF(A48&gt;=สมมติฐาน!$C$19,สมมติฐาน!$C$18,IF(A48&gt;=สมมติฐาน!$C$17,สมมติฐาน!$C$16,0))*12*E48,0)</f>
        <v>0</v>
      </c>
      <c r="I48" s="26" t="n">
        <f aca="false">G48*สมมติฐาน!$C$21</f>
        <v>0</v>
      </c>
      <c r="J48" s="26" t="n">
        <f aca="false">IF(AND(D48="รับราชการ",A48&lt;=สมมติฐาน!$C$23),สมมติฐาน!$C$22*12*E48,0)</f>
        <v>0</v>
      </c>
      <c r="K48" s="26" t="n">
        <f aca="false">IF(AND(D48="รับราชการ",สมมติฐาน!$C$26&gt;0,A48&gt;=สมมติฐาน!$C$29,A48&lt;สมมติฐาน!$C$29+สมมติฐาน!$C$30),สมมติฐาน!$C$28*สมมติฐาน!$C$26*E48,0)</f>
        <v>0</v>
      </c>
      <c r="L48" s="26" t="n">
        <f aca="false">G48*สมมติฐาน!$C$20</f>
        <v>0</v>
      </c>
      <c r="M48" s="25" t="n">
        <f aca="false">(1+สมมติฐาน!$B$39)^(A48-1)*(1+สมมติฐาน!$B$40)^(A48-1)</f>
        <v>4.68611991166512</v>
      </c>
      <c r="N48" s="23" t="n">
        <f aca="false">A48-สมมติฐาน!$C$31</f>
        <v>32</v>
      </c>
      <c r="O48" s="23" t="n">
        <f aca="false">C48+สมมติฐาน!$C$32</f>
        <v>92</v>
      </c>
      <c r="P48" s="26" t="n">
        <f aca="false">(1+สมมติฐาน!$C$25)*สมมติฐาน!$B$37*LOOKUP(C48,สมมติฐาน!$A$59:$A$64,สมมติฐาน!$B$59:$B$64)*สมมติฐาน!$C$34*M48</f>
        <v>262422.715053247</v>
      </c>
      <c r="Q48" s="26" t="n">
        <f aca="false">IF(AND(สมมติฐาน!$C$26&gt;0,N48&gt;=0,N48&lt;=19),สมมติฐาน!$C$26*สมมติฐาน!$B$37*LOOKUP(MAX(N48,0),สมมติฐาน!$A$59:$A$64,สมมติฐาน!$B$59:$B$64)*สมมติฐาน!$C$34*M48,0)</f>
        <v>0</v>
      </c>
      <c r="R48" s="26" t="n">
        <f aca="false">IF(AND(สมมติฐาน!$C$27&gt;0,O48&lt;=สมมติฐาน!$C$33),สมมติฐาน!$C$27*สมมติฐาน!$B$37*LOOKUP(O48,สมมติฐาน!$A$59:$A$64,สมมติฐาน!$B$59:$B$64)*สมมติฐาน!$C$34*M48,0)</f>
        <v>0</v>
      </c>
      <c r="S48" s="26" t="n">
        <f aca="false">IF(D48="รับราชการ",0,$AD$6*12*(1+สมมติฐาน!$B$42)^(A48-35-1))</f>
        <v>807412.68884654</v>
      </c>
      <c r="T48" s="26" t="n">
        <f aca="false">IF(C48=สมมติฐาน!$C$8,$AD$7,0)+IF(C48=65,$AD$9,0)+IF(C48=70,$AD$11,0)+IF(A48=58,$AD$12+$AD$13,0)</f>
        <v>0</v>
      </c>
      <c r="U48" s="26" t="n">
        <f aca="false">G48+H48+I48+J48+K48+L48+P48+Q48+R48+S48+T48</f>
        <v>1069835.40389979</v>
      </c>
      <c r="V48" s="26" t="n">
        <f aca="false">U48/E48</f>
        <v>494208.56425708</v>
      </c>
      <c r="W48" s="25" t="n">
        <f aca="false">1/(1+สมมติฐาน!$B$41)^(A48-1)</f>
        <v>0.461948223488941</v>
      </c>
      <c r="X48" s="26" t="n">
        <f aca="false">V48*W48</f>
        <v>228298.768291578</v>
      </c>
    </row>
    <row r="49" customFormat="false" ht="15" hidden="false" customHeight="true" outlineLevel="0" collapsed="false">
      <c r="A49" s="20" t="n">
        <v>41</v>
      </c>
      <c r="B49" s="20" t="n">
        <f aca="false">สมมติฐาน!$B$38+A49-1</f>
        <v>2609</v>
      </c>
      <c r="C49" s="20" t="n">
        <f aca="false">สมมติฐาน!$C$7+A49-1</f>
        <v>65</v>
      </c>
      <c r="D49" s="21" t="str">
        <f aca="false">IF(C49&lt;สมมติฐาน!$C$8,"รับราชการ","รับบำนาญ")</f>
        <v>รับบำนาญ</v>
      </c>
      <c r="E49" s="22" t="n">
        <f aca="false">(1+สมมติฐาน!$B$39)^(A49-1)</f>
        <v>2.20803966361485</v>
      </c>
      <c r="F49" s="14" t="n">
        <f aca="false">IF(D49="รับราชการ",สมมติฐาน!$C$13*(1+สมมติฐาน!$C$15)^(A49-1)*E49,0)</f>
        <v>0</v>
      </c>
      <c r="G49" s="14" t="n">
        <f aca="false">F49*12</f>
        <v>0</v>
      </c>
      <c r="H49" s="14" t="n">
        <f aca="false">IF(D49="รับราชการ",IF(A49&gt;=สมมติฐาน!$C$19,สมมติฐาน!$C$18,IF(A49&gt;=สมมติฐาน!$C$17,สมมติฐาน!$C$16,0))*12*E49,0)</f>
        <v>0</v>
      </c>
      <c r="I49" s="14" t="n">
        <f aca="false">G49*สมมติฐาน!$C$21</f>
        <v>0</v>
      </c>
      <c r="J49" s="14" t="n">
        <f aca="false">IF(AND(D49="รับราชการ",A49&lt;=สมมติฐาน!$C$23),สมมติฐาน!$C$22*12*E49,0)</f>
        <v>0</v>
      </c>
      <c r="K49" s="14" t="n">
        <f aca="false">IF(AND(D49="รับราชการ",สมมติฐาน!$C$26&gt;0,A49&gt;=สมมติฐาน!$C$29,A49&lt;สมมติฐาน!$C$29+สมมติฐาน!$C$30),สมมติฐาน!$C$28*สมมติฐาน!$C$26*E49,0)</f>
        <v>0</v>
      </c>
      <c r="L49" s="14" t="n">
        <f aca="false">G49*สมมติฐาน!$C$20</f>
        <v>0</v>
      </c>
      <c r="M49" s="22" t="n">
        <f aca="false">(1+สมมติฐาน!$B$39)^(A49-1)*(1+สมมติฐาน!$B$40)^(A49-1)</f>
        <v>4.8754391560964</v>
      </c>
      <c r="N49" s="20" t="n">
        <f aca="false">A49-สมมติฐาน!$C$31</f>
        <v>33</v>
      </c>
      <c r="O49" s="20" t="n">
        <f aca="false">C49+สมมติฐาน!$C$32</f>
        <v>93</v>
      </c>
      <c r="P49" s="14" t="n">
        <f aca="false">(1+สมมติฐาน!$C$25)*สมมติฐาน!$B$37*LOOKUP(C49,สมมติฐาน!$A$59:$A$64,สมมติฐาน!$B$59:$B$64)*สมมติฐาน!$C$34*M49</f>
        <v>273024.592741398</v>
      </c>
      <c r="Q49" s="14" t="n">
        <f aca="false">IF(AND(สมมติฐาน!$C$26&gt;0,N49&gt;=0,N49&lt;=19),สมมติฐาน!$C$26*สมมติฐาน!$B$37*LOOKUP(MAX(N49,0),สมมติฐาน!$A$59:$A$64,สมมติฐาน!$B$59:$B$64)*สมมติฐาน!$C$34*M49,0)</f>
        <v>0</v>
      </c>
      <c r="R49" s="14" t="n">
        <f aca="false">IF(AND(สมมติฐาน!$C$27&gt;0,O49&lt;=สมมติฐาน!$C$33),สมมติฐาน!$C$27*สมมติฐาน!$B$37*LOOKUP(O49,สมมติฐาน!$A$59:$A$64,สมมติฐาน!$B$59:$B$64)*สมมติฐาน!$C$34*M49,0)</f>
        <v>0</v>
      </c>
      <c r="S49" s="14" t="n">
        <f aca="false">IF(D49="รับราชการ",0,$AD$6*12*(1+สมมติฐาน!$B$42)^(A49-35-1))</f>
        <v>815486.815735005</v>
      </c>
      <c r="T49" s="14" t="n">
        <f aca="false">IF(C49=สมมติฐาน!$C$8,$AD$7,0)+IF(C49=65,$AD$9,0)+IF(C49=70,$AD$11,0)+IF(A49=58,$AD$12+$AD$13,0)</f>
        <v>200000</v>
      </c>
      <c r="U49" s="14" t="n">
        <f aca="false">G49+H49+I49+J49+K49+L49+P49+Q49+R49+S49+T49</f>
        <v>1288511.4084764</v>
      </c>
      <c r="V49" s="14" t="n">
        <f aca="false">U49/E49</f>
        <v>583554.466755792</v>
      </c>
      <c r="W49" s="22" t="n">
        <f aca="false">1/(1+สมมติฐาน!$B$41)^(A49-1)</f>
        <v>0.452890415185236</v>
      </c>
      <c r="X49" s="14" t="n">
        <f aca="false">V49*W49</f>
        <v>264286.22473223</v>
      </c>
    </row>
    <row r="50" customFormat="false" ht="15" hidden="false" customHeight="true" outlineLevel="0" collapsed="false">
      <c r="A50" s="23" t="n">
        <v>42</v>
      </c>
      <c r="B50" s="23" t="n">
        <f aca="false">สมมติฐาน!$B$38+A50-1</f>
        <v>2610</v>
      </c>
      <c r="C50" s="23" t="n">
        <f aca="false">สมมติฐาน!$C$7+A50-1</f>
        <v>66</v>
      </c>
      <c r="D50" s="24" t="str">
        <f aca="false">IF(C50&lt;สมมติฐาน!$C$8,"รับราชการ","รับบำนาญ")</f>
        <v>รับบำนาญ</v>
      </c>
      <c r="E50" s="25" t="n">
        <f aca="false">(1+สมมติฐาน!$B$39)^(A50-1)</f>
        <v>2.25220045688715</v>
      </c>
      <c r="F50" s="26" t="n">
        <f aca="false">IF(D50="รับราชการ",สมมติฐาน!$C$13*(1+สมมติฐาน!$C$15)^(A50-1)*E50,0)</f>
        <v>0</v>
      </c>
      <c r="G50" s="26" t="n">
        <f aca="false">F50*12</f>
        <v>0</v>
      </c>
      <c r="H50" s="26" t="n">
        <f aca="false">IF(D50="รับราชการ",IF(A50&gt;=สมมติฐาน!$C$19,สมมติฐาน!$C$18,IF(A50&gt;=สมมติฐาน!$C$17,สมมติฐาน!$C$16,0))*12*E50,0)</f>
        <v>0</v>
      </c>
      <c r="I50" s="26" t="n">
        <f aca="false">G50*สมมติฐาน!$C$21</f>
        <v>0</v>
      </c>
      <c r="J50" s="26" t="n">
        <f aca="false">IF(AND(D50="รับราชการ",A50&lt;=สมมติฐาน!$C$23),สมมติฐาน!$C$22*12*E50,0)</f>
        <v>0</v>
      </c>
      <c r="K50" s="26" t="n">
        <f aca="false">IF(AND(D50="รับราชการ",สมมติฐาน!$C$26&gt;0,A50&gt;=สมมติฐาน!$C$29,A50&lt;สมมติฐาน!$C$29+สมมติฐาน!$C$30),สมมติฐาน!$C$28*สมมติฐาน!$C$26*E50,0)</f>
        <v>0</v>
      </c>
      <c r="L50" s="26" t="n">
        <f aca="false">G50*สมมติฐาน!$C$20</f>
        <v>0</v>
      </c>
      <c r="M50" s="25" t="n">
        <f aca="false">(1+สมมติฐาน!$B$39)^(A50-1)*(1+สมมติฐาน!$B$40)^(A50-1)</f>
        <v>5.07240689800269</v>
      </c>
      <c r="N50" s="23" t="n">
        <f aca="false">A50-สมมติฐาน!$C$31</f>
        <v>34</v>
      </c>
      <c r="O50" s="23" t="n">
        <f aca="false">C50+สมมติฐาน!$C$32</f>
        <v>94</v>
      </c>
      <c r="P50" s="26" t="n">
        <f aca="false">(1+สมมติฐาน!$C$25)*สมมติฐาน!$B$37*LOOKUP(C50,สมมติฐาน!$A$59:$A$64,สมมติฐาน!$B$59:$B$64)*สมมติฐาน!$C$34*M50</f>
        <v>284054.786288151</v>
      </c>
      <c r="Q50" s="26" t="n">
        <f aca="false">IF(AND(สมมติฐาน!$C$26&gt;0,N50&gt;=0,N50&lt;=19),สมมติฐาน!$C$26*สมมติฐาน!$B$37*LOOKUP(MAX(N50,0),สมมติฐาน!$A$59:$A$64,สมมติฐาน!$B$59:$B$64)*สมมติฐาน!$C$34*M50,0)</f>
        <v>0</v>
      </c>
      <c r="R50" s="26" t="n">
        <f aca="false">IF(AND(สมมติฐาน!$C$27&gt;0,O50&lt;=สมมติฐาน!$C$33),สมมติฐาน!$C$27*สมมติฐาน!$B$37*LOOKUP(O50,สมมติฐาน!$A$59:$A$64,สมมติฐาน!$B$59:$B$64)*สมมติฐาน!$C$34*M50,0)</f>
        <v>0</v>
      </c>
      <c r="S50" s="26" t="n">
        <f aca="false">IF(D50="รับราชการ",0,$AD$6*12*(1+สมมติฐาน!$B$42)^(A50-35-1))</f>
        <v>823641.683892355</v>
      </c>
      <c r="T50" s="26" t="n">
        <f aca="false">IF(C50=สมมติฐาน!$C$8,$AD$7,0)+IF(C50=65,$AD$9,0)+IF(C50=70,$AD$11,0)+IF(A50=58,$AD$12+$AD$13,0)</f>
        <v>0</v>
      </c>
      <c r="U50" s="26" t="n">
        <f aca="false">G50+H50+I50+J50+K50+L50+P50+Q50+R50+S50+T50</f>
        <v>1107696.47018051</v>
      </c>
      <c r="V50" s="26" t="n">
        <f aca="false">U50/E50</f>
        <v>491828.543411049</v>
      </c>
      <c r="W50" s="25" t="n">
        <f aca="false">1/(1+สมมติฐาน!$B$41)^(A50-1)</f>
        <v>0.444010210965918</v>
      </c>
      <c r="X50" s="26" t="n">
        <f aca="false">V50*W50</f>
        <v>218376.895319</v>
      </c>
    </row>
    <row r="51" customFormat="false" ht="15" hidden="false" customHeight="true" outlineLevel="0" collapsed="false">
      <c r="A51" s="20" t="n">
        <v>43</v>
      </c>
      <c r="B51" s="20" t="n">
        <f aca="false">สมมติฐาน!$B$38+A51-1</f>
        <v>2611</v>
      </c>
      <c r="C51" s="20" t="n">
        <f aca="false">สมมติฐาน!$C$7+A51-1</f>
        <v>67</v>
      </c>
      <c r="D51" s="21" t="str">
        <f aca="false">IF(C51&lt;สมมติฐาน!$C$8,"รับราชการ","รับบำนาญ")</f>
        <v>รับบำนาญ</v>
      </c>
      <c r="E51" s="22" t="n">
        <f aca="false">(1+สมมติฐาน!$B$39)^(A51-1)</f>
        <v>2.29724446602489</v>
      </c>
      <c r="F51" s="14" t="n">
        <f aca="false">IF(D51="รับราชการ",สมมติฐาน!$C$13*(1+สมมติฐาน!$C$15)^(A51-1)*E51,0)</f>
        <v>0</v>
      </c>
      <c r="G51" s="14" t="n">
        <f aca="false">F51*12</f>
        <v>0</v>
      </c>
      <c r="H51" s="14" t="n">
        <f aca="false">IF(D51="รับราชการ",IF(A51&gt;=สมมติฐาน!$C$19,สมมติฐาน!$C$18,IF(A51&gt;=สมมติฐาน!$C$17,สมมติฐาน!$C$16,0))*12*E51,0)</f>
        <v>0</v>
      </c>
      <c r="I51" s="14" t="n">
        <f aca="false">G51*สมมติฐาน!$C$21</f>
        <v>0</v>
      </c>
      <c r="J51" s="14" t="n">
        <f aca="false">IF(AND(D51="รับราชการ",A51&lt;=สมมติฐาน!$C$23),สมมติฐาน!$C$22*12*E51,0)</f>
        <v>0</v>
      </c>
      <c r="K51" s="14" t="n">
        <f aca="false">IF(AND(D51="รับราชการ",สมมติฐาน!$C$26&gt;0,A51&gt;=สมมติฐาน!$C$29,A51&lt;สมมติฐาน!$C$29+สมมติฐาน!$C$30),สมมติฐาน!$C$28*สมมติฐาน!$C$26*E51,0)</f>
        <v>0</v>
      </c>
      <c r="L51" s="14" t="n">
        <f aca="false">G51*สมมติฐาน!$C$20</f>
        <v>0</v>
      </c>
      <c r="M51" s="22" t="n">
        <f aca="false">(1+สมมติฐาน!$B$39)^(A51-1)*(1+สมมติฐาน!$B$40)^(A51-1)</f>
        <v>5.277332136682</v>
      </c>
      <c r="N51" s="20" t="n">
        <f aca="false">A51-สมมติฐาน!$C$31</f>
        <v>35</v>
      </c>
      <c r="O51" s="20" t="n">
        <f aca="false">C51+สมมติฐาน!$C$32</f>
        <v>95</v>
      </c>
      <c r="P51" s="14" t="n">
        <f aca="false">(1+สมมติฐาน!$C$25)*สมมติฐาน!$B$37*LOOKUP(C51,สมมติฐาน!$A$59:$A$64,สมมติฐาน!$B$59:$B$64)*สมมติฐาน!$C$34*M51</f>
        <v>295530.599654192</v>
      </c>
      <c r="Q51" s="14" t="n">
        <f aca="false">IF(AND(สมมติฐาน!$C$26&gt;0,N51&gt;=0,N51&lt;=19),สมมติฐาน!$C$26*สมมติฐาน!$B$37*LOOKUP(MAX(N51,0),สมมติฐาน!$A$59:$A$64,สมมติฐาน!$B$59:$B$64)*สมมติฐาน!$C$34*M51,0)</f>
        <v>0</v>
      </c>
      <c r="R51" s="14" t="n">
        <f aca="false">IF(AND(สมมติฐาน!$C$27&gt;0,O51&lt;=สมมติฐาน!$C$33),สมมติฐาน!$C$27*สมมติฐาน!$B$37*LOOKUP(O51,สมมติฐาน!$A$59:$A$64,สมมติฐาน!$B$59:$B$64)*สมมติฐาน!$C$34*M51,0)</f>
        <v>0</v>
      </c>
      <c r="S51" s="14" t="n">
        <f aca="false">IF(D51="รับราชการ",0,$AD$6*12*(1+สมมติฐาน!$B$42)^(A51-35-1))</f>
        <v>831878.100731279</v>
      </c>
      <c r="T51" s="14" t="n">
        <f aca="false">IF(C51=สมมติฐาน!$C$8,$AD$7,0)+IF(C51=65,$AD$9,0)+IF(C51=70,$AD$11,0)+IF(A51=58,$AD$12+$AD$13,0)</f>
        <v>0</v>
      </c>
      <c r="U51" s="14" t="n">
        <f aca="false">G51+H51+I51+J51+K51+L51+P51+Q51+R51+S51+T51</f>
        <v>1127408.70038547</v>
      </c>
      <c r="V51" s="14" t="n">
        <f aca="false">U51/E51</f>
        <v>490765.661669573</v>
      </c>
      <c r="W51" s="22" t="n">
        <f aca="false">1/(1+สมมติฐาน!$B$41)^(A51-1)</f>
        <v>0.435304128397959</v>
      </c>
      <c r="X51" s="14" t="n">
        <f aca="false">V51*W51</f>
        <v>213632.318600721</v>
      </c>
    </row>
    <row r="52" customFormat="false" ht="15" hidden="false" customHeight="true" outlineLevel="0" collapsed="false">
      <c r="A52" s="23" t="n">
        <v>44</v>
      </c>
      <c r="B52" s="23" t="n">
        <f aca="false">สมมติฐาน!$B$38+A52-1</f>
        <v>2612</v>
      </c>
      <c r="C52" s="23" t="n">
        <f aca="false">สมมติฐาน!$C$7+A52-1</f>
        <v>68</v>
      </c>
      <c r="D52" s="24" t="str">
        <f aca="false">IF(C52&lt;สมมติฐาน!$C$8,"รับราชการ","รับบำนาญ")</f>
        <v>รับบำนาญ</v>
      </c>
      <c r="E52" s="25" t="n">
        <f aca="false">(1+สมมติฐาน!$B$39)^(A52-1)</f>
        <v>2.34318935534539</v>
      </c>
      <c r="F52" s="26" t="n">
        <f aca="false">IF(D52="รับราชการ",สมมติฐาน!$C$13*(1+สมมติฐาน!$C$15)^(A52-1)*E52,0)</f>
        <v>0</v>
      </c>
      <c r="G52" s="26" t="n">
        <f aca="false">F52*12</f>
        <v>0</v>
      </c>
      <c r="H52" s="26" t="n">
        <f aca="false">IF(D52="รับราชการ",IF(A52&gt;=สมมติฐาน!$C$19,สมมติฐาน!$C$18,IF(A52&gt;=สมมติฐาน!$C$17,สมมติฐาน!$C$16,0))*12*E52,0)</f>
        <v>0</v>
      </c>
      <c r="I52" s="26" t="n">
        <f aca="false">G52*สมมติฐาน!$C$21</f>
        <v>0</v>
      </c>
      <c r="J52" s="26" t="n">
        <f aca="false">IF(AND(D52="รับราชการ",A52&lt;=สมมติฐาน!$C$23),สมมติฐาน!$C$22*12*E52,0)</f>
        <v>0</v>
      </c>
      <c r="K52" s="26" t="n">
        <f aca="false">IF(AND(D52="รับราชการ",สมมติฐาน!$C$26&gt;0,A52&gt;=สมมติฐาน!$C$29,A52&lt;สมมติฐาน!$C$29+สมมติฐาน!$C$30),สมมติฐาน!$C$28*สมมติฐาน!$C$26*E52,0)</f>
        <v>0</v>
      </c>
      <c r="L52" s="26" t="n">
        <f aca="false">G52*สมมติฐาน!$C$20</f>
        <v>0</v>
      </c>
      <c r="M52" s="25" t="n">
        <f aca="false">(1+สมมติฐาน!$B$39)^(A52-1)*(1+สมมติฐาน!$B$40)^(A52-1)</f>
        <v>5.49053635500395</v>
      </c>
      <c r="N52" s="23" t="n">
        <f aca="false">A52-สมมติฐาน!$C$31</f>
        <v>36</v>
      </c>
      <c r="O52" s="23" t="n">
        <f aca="false">C52+สมมติฐาน!$C$32</f>
        <v>96</v>
      </c>
      <c r="P52" s="26" t="n">
        <f aca="false">(1+สมมติฐาน!$C$25)*สมมติฐาน!$B$37*LOOKUP(C52,สมมติฐาน!$A$59:$A$64,สมมติฐาน!$B$59:$B$64)*สมมติฐาน!$C$34*M52</f>
        <v>307470.035880221</v>
      </c>
      <c r="Q52" s="26" t="n">
        <f aca="false">IF(AND(สมมติฐาน!$C$26&gt;0,N52&gt;=0,N52&lt;=19),สมมติฐาน!$C$26*สมมติฐาน!$B$37*LOOKUP(MAX(N52,0),สมมติฐาน!$A$59:$A$64,สมมติฐาน!$B$59:$B$64)*สมมติฐาน!$C$34*M52,0)</f>
        <v>0</v>
      </c>
      <c r="R52" s="26" t="n">
        <f aca="false">IF(AND(สมมติฐาน!$C$27&gt;0,O52&lt;=สมมติฐาน!$C$33),สมมติฐาน!$C$27*สมมติฐาน!$B$37*LOOKUP(O52,สมมติฐาน!$A$59:$A$64,สมมติฐาน!$B$59:$B$64)*สมมติฐาน!$C$34*M52,0)</f>
        <v>0</v>
      </c>
      <c r="S52" s="26" t="n">
        <f aca="false">IF(D52="รับราชการ",0,$AD$6*12*(1+สมมติฐาน!$B$42)^(A52-35-1))</f>
        <v>840196.881738592</v>
      </c>
      <c r="T52" s="26" t="n">
        <f aca="false">IF(C52=สมมติฐาน!$C$8,$AD$7,0)+IF(C52=65,$AD$9,0)+IF(C52=70,$AD$11,0)+IF(A52=58,$AD$12+$AD$13,0)</f>
        <v>0</v>
      </c>
      <c r="U52" s="26" t="n">
        <f aca="false">G52+H52+I52+J52+K52+L52+P52+Q52+R52+S52+T52</f>
        <v>1147666.91761881</v>
      </c>
      <c r="V52" s="26" t="n">
        <f aca="false">U52/E52</f>
        <v>489788.379671793</v>
      </c>
      <c r="W52" s="25" t="n">
        <f aca="false">1/(1+สมมติฐาน!$B$41)^(A52-1)</f>
        <v>0.426768753331332</v>
      </c>
      <c r="X52" s="26" t="n">
        <f aca="false">V52*W52</f>
        <v>209026.376188704</v>
      </c>
    </row>
    <row r="53" customFormat="false" ht="15" hidden="false" customHeight="true" outlineLevel="0" collapsed="false">
      <c r="A53" s="20" t="n">
        <v>45</v>
      </c>
      <c r="B53" s="20" t="n">
        <f aca="false">สมมติฐาน!$B$38+A53-1</f>
        <v>2613</v>
      </c>
      <c r="C53" s="20" t="n">
        <f aca="false">สมมติฐาน!$C$7+A53-1</f>
        <v>69</v>
      </c>
      <c r="D53" s="21" t="str">
        <f aca="false">IF(C53&lt;สมมติฐาน!$C$8,"รับราชการ","รับบำนาญ")</f>
        <v>รับบำนาญ</v>
      </c>
      <c r="E53" s="22" t="n">
        <f aca="false">(1+สมมติฐาน!$B$39)^(A53-1)</f>
        <v>2.3900531424523</v>
      </c>
      <c r="F53" s="14" t="n">
        <f aca="false">IF(D53="รับราชการ",สมมติฐาน!$C$13*(1+สมมติฐาน!$C$15)^(A53-1)*E53,0)</f>
        <v>0</v>
      </c>
      <c r="G53" s="14" t="n">
        <f aca="false">F53*12</f>
        <v>0</v>
      </c>
      <c r="H53" s="14" t="n">
        <f aca="false">IF(D53="รับราชการ",IF(A53&gt;=สมมติฐาน!$C$19,สมมติฐาน!$C$18,IF(A53&gt;=สมมติฐาน!$C$17,สมมติฐาน!$C$16,0))*12*E53,0)</f>
        <v>0</v>
      </c>
      <c r="I53" s="14" t="n">
        <f aca="false">G53*สมมติฐาน!$C$21</f>
        <v>0</v>
      </c>
      <c r="J53" s="14" t="n">
        <f aca="false">IF(AND(D53="รับราชการ",A53&lt;=สมมติฐาน!$C$23),สมมติฐาน!$C$22*12*E53,0)</f>
        <v>0</v>
      </c>
      <c r="K53" s="14" t="n">
        <f aca="false">IF(AND(D53="รับราชการ",สมมติฐาน!$C$26&gt;0,A53&gt;=สมมติฐาน!$C$29,A53&lt;สมมติฐาน!$C$29+สมมติฐาน!$C$30),สมมติฐาน!$C$28*สมมติฐาน!$C$26*E53,0)</f>
        <v>0</v>
      </c>
      <c r="L53" s="14" t="n">
        <f aca="false">G53*สมมติฐาน!$C$20</f>
        <v>0</v>
      </c>
      <c r="M53" s="22" t="n">
        <f aca="false">(1+สมมติฐาน!$B$39)^(A53-1)*(1+สมมติฐาน!$B$40)^(A53-1)</f>
        <v>5.71235402374611</v>
      </c>
      <c r="N53" s="20" t="n">
        <f aca="false">A53-สมมติฐาน!$C$31</f>
        <v>37</v>
      </c>
      <c r="O53" s="20" t="n">
        <f aca="false">C53+สมมติฐาน!$C$32</f>
        <v>97</v>
      </c>
      <c r="P53" s="14" t="n">
        <f aca="false">(1+สมมติฐาน!$C$25)*สมมติฐาน!$B$37*LOOKUP(C53,สมมติฐาน!$A$59:$A$64,สมมติฐาน!$B$59:$B$64)*สมมติฐาน!$C$34*M53</f>
        <v>319891.825329782</v>
      </c>
      <c r="Q53" s="14" t="n">
        <f aca="false">IF(AND(สมมติฐาน!$C$26&gt;0,N53&gt;=0,N53&lt;=19),สมมติฐาน!$C$26*สมมติฐาน!$B$37*LOOKUP(MAX(N53,0),สมมติฐาน!$A$59:$A$64,สมมติฐาน!$B$59:$B$64)*สมมติฐาน!$C$34*M53,0)</f>
        <v>0</v>
      </c>
      <c r="R53" s="14" t="n">
        <f aca="false">IF(AND(สมมติฐาน!$C$27&gt;0,O53&lt;=สมมติฐาน!$C$33),สมมติฐาน!$C$27*สมมติฐาน!$B$37*LOOKUP(O53,สมมติฐาน!$A$59:$A$64,สมมติฐาน!$B$59:$B$64)*สมมติฐาน!$C$34*M53,0)</f>
        <v>0</v>
      </c>
      <c r="S53" s="14" t="n">
        <f aca="false">IF(D53="รับราชการ",0,$AD$6*12*(1+สมมติฐาน!$B$42)^(A53-35-1))</f>
        <v>848598.850555977</v>
      </c>
      <c r="T53" s="14" t="n">
        <f aca="false">IF(C53=สมมติฐาน!$C$8,$AD$7,0)+IF(C53=65,$AD$9,0)+IF(C53=70,$AD$11,0)+IF(A53=58,$AD$12+$AD$13,0)</f>
        <v>0</v>
      </c>
      <c r="U53" s="14" t="n">
        <f aca="false">G53+H53+I53+J53+K53+L53+P53+Q53+R53+S53+T53</f>
        <v>1168490.67588576</v>
      </c>
      <c r="V53" s="14" t="n">
        <f aca="false">U53/E53</f>
        <v>488897.361791227</v>
      </c>
      <c r="W53" s="22" t="n">
        <f aca="false">1/(1+สมมติฐาน!$B$41)^(A53-1)</f>
        <v>0.418400738560129</v>
      </c>
      <c r="X53" s="14" t="n">
        <f aca="false">V53*W53</f>
        <v>204555.017253548</v>
      </c>
    </row>
    <row r="54" customFormat="false" ht="15" hidden="false" customHeight="true" outlineLevel="0" collapsed="false">
      <c r="A54" s="23" t="n">
        <v>46</v>
      </c>
      <c r="B54" s="23" t="n">
        <f aca="false">สมมติฐาน!$B$38+A54-1</f>
        <v>2614</v>
      </c>
      <c r="C54" s="23" t="n">
        <f aca="false">สมมติฐาน!$C$7+A54-1</f>
        <v>70</v>
      </c>
      <c r="D54" s="24" t="str">
        <f aca="false">IF(C54&lt;สมมติฐาน!$C$8,"รับราชการ","รับบำนาญ")</f>
        <v>รับบำนาญ</v>
      </c>
      <c r="E54" s="25" t="n">
        <f aca="false">(1+สมมติฐาน!$B$39)^(A54-1)</f>
        <v>2.43785420530135</v>
      </c>
      <c r="F54" s="26" t="n">
        <f aca="false">IF(D54="รับราชการ",สมมติฐาน!$C$13*(1+สมมติฐาน!$C$15)^(A54-1)*E54,0)</f>
        <v>0</v>
      </c>
      <c r="G54" s="26" t="n">
        <f aca="false">F54*12</f>
        <v>0</v>
      </c>
      <c r="H54" s="26" t="n">
        <f aca="false">IF(D54="รับราชการ",IF(A54&gt;=สมมติฐาน!$C$19,สมมติฐาน!$C$18,IF(A54&gt;=สมมติฐาน!$C$17,สมมติฐาน!$C$16,0))*12*E54,0)</f>
        <v>0</v>
      </c>
      <c r="I54" s="26" t="n">
        <f aca="false">G54*สมมติฐาน!$C$21</f>
        <v>0</v>
      </c>
      <c r="J54" s="26" t="n">
        <f aca="false">IF(AND(D54="รับราชการ",A54&lt;=สมมติฐาน!$C$23),สมมติฐาน!$C$22*12*E54,0)</f>
        <v>0</v>
      </c>
      <c r="K54" s="26" t="n">
        <f aca="false">IF(AND(D54="รับราชการ",สมมติฐาน!$C$26&gt;0,A54&gt;=สมมติฐาน!$C$29,A54&lt;สมมติฐาน!$C$29+สมมติฐาน!$C$30),สมมติฐาน!$C$28*สมมติฐาน!$C$26*E54,0)</f>
        <v>0</v>
      </c>
      <c r="L54" s="26" t="n">
        <f aca="false">G54*สมมติฐาน!$C$20</f>
        <v>0</v>
      </c>
      <c r="M54" s="25" t="n">
        <f aca="false">(1+สมมติฐาน!$B$39)^(A54-1)*(1+สมมติฐาน!$B$40)^(A54-1)</f>
        <v>5.94313312630546</v>
      </c>
      <c r="N54" s="23" t="n">
        <f aca="false">A54-สมมติฐาน!$C$31</f>
        <v>38</v>
      </c>
      <c r="O54" s="23" t="n">
        <f aca="false">C54+สมมติฐาน!$C$32</f>
        <v>98</v>
      </c>
      <c r="P54" s="26" t="n">
        <f aca="false">(1+สมมติฐาน!$C$25)*สมมติฐาน!$B$37*LOOKUP(C54,สมมติฐาน!$A$59:$A$64,สมมติฐาน!$B$59:$B$64)*สมมติฐาน!$C$34*M54</f>
        <v>534881.981367491</v>
      </c>
      <c r="Q54" s="26" t="n">
        <f aca="false">IF(AND(สมมติฐาน!$C$26&gt;0,N54&gt;=0,N54&lt;=19),สมมติฐาน!$C$26*สมมติฐาน!$B$37*LOOKUP(MAX(N54,0),สมมติฐาน!$A$59:$A$64,สมมติฐาน!$B$59:$B$64)*สมมติฐาน!$C$34*M54,0)</f>
        <v>0</v>
      </c>
      <c r="R54" s="26" t="n">
        <f aca="false">IF(AND(สมมติฐาน!$C$27&gt;0,O54&lt;=สมมติฐาน!$C$33),สมมติฐาน!$C$27*สมมติฐาน!$B$37*LOOKUP(O54,สมมติฐาน!$A$59:$A$64,สมมติฐาน!$B$59:$B$64)*สมมติฐาน!$C$34*M54,0)</f>
        <v>0</v>
      </c>
      <c r="S54" s="26" t="n">
        <f aca="false">IF(D54="รับราชการ",0,$AD$6*12*(1+สมมติฐาน!$B$42)^(A54-35-1))</f>
        <v>857084.839061537</v>
      </c>
      <c r="T54" s="26" t="n">
        <f aca="false">IF(C54=สมมติฐาน!$C$8,$AD$7,0)+IF(C54=65,$AD$9,0)+IF(C54=70,$AD$11,0)+IF(A54=58,$AD$12+$AD$13,0)</f>
        <v>100000</v>
      </c>
      <c r="U54" s="26" t="n">
        <f aca="false">G54+H54+I54+J54+K54+L54+P54+Q54+R54+S54+T54</f>
        <v>1491966.82042903</v>
      </c>
      <c r="V54" s="26" t="n">
        <f aca="false">U54/E54</f>
        <v>612000.019190895</v>
      </c>
      <c r="W54" s="25" t="n">
        <f aca="false">1/(1+สมมติฐาน!$B$41)^(A54-1)</f>
        <v>0.410196802509931</v>
      </c>
      <c r="X54" s="26" t="n">
        <f aca="false">V54*W54</f>
        <v>251040.451008121</v>
      </c>
    </row>
    <row r="55" customFormat="false" ht="15" hidden="false" customHeight="true" outlineLevel="0" collapsed="false">
      <c r="A55" s="20" t="n">
        <v>47</v>
      </c>
      <c r="B55" s="20" t="n">
        <f aca="false">สมมติฐาน!$B$38+A55-1</f>
        <v>2615</v>
      </c>
      <c r="C55" s="20" t="n">
        <f aca="false">สมมติฐาน!$C$7+A55-1</f>
        <v>71</v>
      </c>
      <c r="D55" s="21" t="str">
        <f aca="false">IF(C55&lt;สมมติฐาน!$C$8,"รับราชการ","รับบำนาญ")</f>
        <v>รับบำนาญ</v>
      </c>
      <c r="E55" s="22" t="n">
        <f aca="false">(1+สมมติฐาน!$B$39)^(A55-1)</f>
        <v>2.48661128940737</v>
      </c>
      <c r="F55" s="14" t="n">
        <f aca="false">IF(D55="รับราชการ",สมมติฐาน!$C$13*(1+สมมติฐาน!$C$15)^(A55-1)*E55,0)</f>
        <v>0</v>
      </c>
      <c r="G55" s="14" t="n">
        <f aca="false">F55*12</f>
        <v>0</v>
      </c>
      <c r="H55" s="14" t="n">
        <f aca="false">IF(D55="รับราชการ",IF(A55&gt;=สมมติฐาน!$C$19,สมมติฐาน!$C$18,IF(A55&gt;=สมมติฐาน!$C$17,สมมติฐาน!$C$16,0))*12*E55,0)</f>
        <v>0</v>
      </c>
      <c r="I55" s="14" t="n">
        <f aca="false">G55*สมมติฐาน!$C$21</f>
        <v>0</v>
      </c>
      <c r="J55" s="14" t="n">
        <f aca="false">IF(AND(D55="รับราชการ",A55&lt;=สมมติฐาน!$C$23),สมมติฐาน!$C$22*12*E55,0)</f>
        <v>0</v>
      </c>
      <c r="K55" s="14" t="n">
        <f aca="false">IF(AND(D55="รับราชการ",สมมติฐาน!$C$26&gt;0,A55&gt;=สมมติฐาน!$C$29,A55&lt;สมมติฐาน!$C$29+สมมติฐาน!$C$30),สมมติฐาน!$C$28*สมมติฐาน!$C$26*E55,0)</f>
        <v>0</v>
      </c>
      <c r="L55" s="14" t="n">
        <f aca="false">G55*สมมติฐาน!$C$20</f>
        <v>0</v>
      </c>
      <c r="M55" s="22" t="n">
        <f aca="false">(1+สมมติฐาน!$B$39)^(A55-1)*(1+สมมติฐาน!$B$40)^(A55-1)</f>
        <v>6.1832357046082</v>
      </c>
      <c r="N55" s="20" t="n">
        <f aca="false">A55-สมมติฐาน!$C$31</f>
        <v>39</v>
      </c>
      <c r="O55" s="20" t="n">
        <f aca="false">C55+สมมติฐาน!$C$32</f>
        <v>99</v>
      </c>
      <c r="P55" s="14" t="n">
        <f aca="false">(1+สมมติฐาน!$C$25)*สมมติฐาน!$B$37*LOOKUP(C55,สมมติฐาน!$A$59:$A$64,สมมติฐาน!$B$59:$B$64)*สมมติฐาน!$C$34*M55</f>
        <v>556491.213414738</v>
      </c>
      <c r="Q55" s="14" t="n">
        <f aca="false">IF(AND(สมมติฐาน!$C$26&gt;0,N55&gt;=0,N55&lt;=19),สมมติฐาน!$C$26*สมมติฐาน!$B$37*LOOKUP(MAX(N55,0),สมมติฐาน!$A$59:$A$64,สมมติฐาน!$B$59:$B$64)*สมมติฐาน!$C$34*M55,0)</f>
        <v>0</v>
      </c>
      <c r="R55" s="14" t="n">
        <f aca="false">IF(AND(สมมติฐาน!$C$27&gt;0,O55&lt;=สมมติฐาน!$C$33),สมมติฐาน!$C$27*สมมติฐาน!$B$37*LOOKUP(O55,สมมติฐาน!$A$59:$A$64,สมมติฐาน!$B$59:$B$64)*สมมติฐาน!$C$34*M55,0)</f>
        <v>0</v>
      </c>
      <c r="S55" s="14" t="n">
        <f aca="false">IF(D55="รับราชการ",0,$AD$6*12*(1+สมมติฐาน!$B$42)^(A55-35-1))</f>
        <v>865655.687452153</v>
      </c>
      <c r="T55" s="14" t="n">
        <f aca="false">IF(C55=สมมติฐาน!$C$8,$AD$7,0)+IF(C55=65,$AD$9,0)+IF(C55=70,$AD$11,0)+IF(A55=58,$AD$12+$AD$13,0)</f>
        <v>0</v>
      </c>
      <c r="U55" s="14" t="n">
        <f aca="false">G55+H55+I55+J55+K55+L55+P55+Q55+R55+S55+T55</f>
        <v>1422146.90086689</v>
      </c>
      <c r="V55" s="14" t="n">
        <f aca="false">U55/E55</f>
        <v>571921.677877457</v>
      </c>
      <c r="W55" s="22" t="n">
        <f aca="false">1/(1+สมมติฐาน!$B$41)^(A55-1)</f>
        <v>0.402153727950912</v>
      </c>
      <c r="X55" s="14" t="n">
        <f aca="false">V55*W55</f>
        <v>230000.43485436</v>
      </c>
    </row>
    <row r="56" customFormat="false" ht="15" hidden="false" customHeight="true" outlineLevel="0" collapsed="false">
      <c r="A56" s="23" t="n">
        <v>48</v>
      </c>
      <c r="B56" s="23" t="n">
        <f aca="false">สมมติฐาน!$B$38+A56-1</f>
        <v>2616</v>
      </c>
      <c r="C56" s="23" t="n">
        <f aca="false">สมมติฐาน!$C$7+A56-1</f>
        <v>72</v>
      </c>
      <c r="D56" s="24" t="str">
        <f aca="false">IF(C56&lt;สมมติฐาน!$C$8,"รับราชการ","รับบำนาญ")</f>
        <v>รับบำนาญ</v>
      </c>
      <c r="E56" s="25" t="n">
        <f aca="false">(1+สมมติฐาน!$B$39)^(A56-1)</f>
        <v>2.53634351519552</v>
      </c>
      <c r="F56" s="26" t="n">
        <f aca="false">IF(D56="รับราชการ",สมมติฐาน!$C$13*(1+สมมติฐาน!$C$15)^(A56-1)*E56,0)</f>
        <v>0</v>
      </c>
      <c r="G56" s="26" t="n">
        <f aca="false">F56*12</f>
        <v>0</v>
      </c>
      <c r="H56" s="26" t="n">
        <f aca="false">IF(D56="รับราชการ",IF(A56&gt;=สมมติฐาน!$C$19,สมมติฐาน!$C$18,IF(A56&gt;=สมมติฐาน!$C$17,สมมติฐาน!$C$16,0))*12*E56,0)</f>
        <v>0</v>
      </c>
      <c r="I56" s="26" t="n">
        <f aca="false">G56*สมมติฐาน!$C$21</f>
        <v>0</v>
      </c>
      <c r="J56" s="26" t="n">
        <f aca="false">IF(AND(D56="รับราชการ",A56&lt;=สมมติฐาน!$C$23),สมมติฐาน!$C$22*12*E56,0)</f>
        <v>0</v>
      </c>
      <c r="K56" s="26" t="n">
        <f aca="false">IF(AND(D56="รับราชการ",สมมติฐาน!$C$26&gt;0,A56&gt;=สมมติฐาน!$C$29,A56&lt;สมมติฐาน!$C$29+สมมติฐาน!$C$30),สมมติฐาน!$C$28*สมมติฐาน!$C$26*E56,0)</f>
        <v>0</v>
      </c>
      <c r="L56" s="26" t="n">
        <f aca="false">G56*สมมติฐาน!$C$20</f>
        <v>0</v>
      </c>
      <c r="M56" s="25" t="n">
        <f aca="false">(1+สมมติฐาน!$B$39)^(A56-1)*(1+สมมติฐาน!$B$40)^(A56-1)</f>
        <v>6.43303842707437</v>
      </c>
      <c r="N56" s="23" t="n">
        <f aca="false">A56-สมมติฐาน!$C$31</f>
        <v>40</v>
      </c>
      <c r="O56" s="23" t="n">
        <f aca="false">C56+สมมติฐาน!$C$32</f>
        <v>100</v>
      </c>
      <c r="P56" s="26" t="n">
        <f aca="false">(1+สมมติฐาน!$C$25)*สมมติฐาน!$B$37*LOOKUP(C56,สมมติฐาน!$A$59:$A$64,สมมติฐาน!$B$59:$B$64)*สมมติฐาน!$C$34*M56</f>
        <v>578973.458436693</v>
      </c>
      <c r="Q56" s="26" t="n">
        <f aca="false">IF(AND(สมมติฐาน!$C$26&gt;0,N56&gt;=0,N56&lt;=19),สมมติฐาน!$C$26*สมมติฐาน!$B$37*LOOKUP(MAX(N56,0),สมมติฐาน!$A$59:$A$64,สมมติฐาน!$B$59:$B$64)*สมมติฐาน!$C$34*M56,0)</f>
        <v>0</v>
      </c>
      <c r="R56" s="26" t="n">
        <f aca="false">IF(AND(สมมติฐาน!$C$27&gt;0,O56&lt;=สมมติฐาน!$C$33),สมมติฐาน!$C$27*สมมติฐาน!$B$37*LOOKUP(O56,สมมติฐาน!$A$59:$A$64,สมมติฐาน!$B$59:$B$64)*สมมติฐาน!$C$34*M56,0)</f>
        <v>0</v>
      </c>
      <c r="S56" s="26" t="n">
        <f aca="false">IF(D56="รับราชการ",0,$AD$6*12*(1+สมมติฐาน!$B$42)^(A56-35-1))</f>
        <v>874312.244326674</v>
      </c>
      <c r="T56" s="26" t="n">
        <f aca="false">IF(C56=สมมติฐาน!$C$8,$AD$7,0)+IF(C56=65,$AD$9,0)+IF(C56=70,$AD$11,0)+IF(A56=58,$AD$12+$AD$13,0)</f>
        <v>0</v>
      </c>
      <c r="U56" s="26" t="n">
        <f aca="false">G56+H56+I56+J56+K56+L56+P56+Q56+R56+S56+T56</f>
        <v>1453285.70276337</v>
      </c>
      <c r="V56" s="26" t="n">
        <f aca="false">U56/E56</f>
        <v>572984.571709853</v>
      </c>
      <c r="W56" s="25" t="n">
        <f aca="false">1/(1+สมมติฐาน!$B$41)^(A56-1)</f>
        <v>0.394268360736189</v>
      </c>
      <c r="X56" s="26" t="n">
        <f aca="false">V56*W56</f>
        <v>225909.687815171</v>
      </c>
    </row>
    <row r="57" customFormat="false" ht="15" hidden="false" customHeight="true" outlineLevel="0" collapsed="false">
      <c r="A57" s="20" t="n">
        <v>49</v>
      </c>
      <c r="B57" s="20" t="n">
        <f aca="false">สมมติฐาน!$B$38+A57-1</f>
        <v>2617</v>
      </c>
      <c r="C57" s="20" t="n">
        <f aca="false">สมมติฐาน!$C$7+A57-1</f>
        <v>73</v>
      </c>
      <c r="D57" s="21" t="str">
        <f aca="false">IF(C57&lt;สมมติฐาน!$C$8,"รับราชการ","รับบำนาญ")</f>
        <v>รับบำนาญ</v>
      </c>
      <c r="E57" s="22" t="n">
        <f aca="false">(1+สมมติฐาน!$B$39)^(A57-1)</f>
        <v>2.58707038549943</v>
      </c>
      <c r="F57" s="14" t="n">
        <f aca="false">IF(D57="รับราชการ",สมมติฐาน!$C$13*(1+สมมติฐาน!$C$15)^(A57-1)*E57,0)</f>
        <v>0</v>
      </c>
      <c r="G57" s="14" t="n">
        <f aca="false">F57*12</f>
        <v>0</v>
      </c>
      <c r="H57" s="14" t="n">
        <f aca="false">IF(D57="รับราชการ",IF(A57&gt;=สมมติฐาน!$C$19,สมมติฐาน!$C$18,IF(A57&gt;=สมมติฐาน!$C$17,สมมติฐาน!$C$16,0))*12*E57,0)</f>
        <v>0</v>
      </c>
      <c r="I57" s="14" t="n">
        <f aca="false">G57*สมมติฐาน!$C$21</f>
        <v>0</v>
      </c>
      <c r="J57" s="14" t="n">
        <f aca="false">IF(AND(D57="รับราชการ",A57&lt;=สมมติฐาน!$C$23),สมมติฐาน!$C$22*12*E57,0)</f>
        <v>0</v>
      </c>
      <c r="K57" s="14" t="n">
        <f aca="false">IF(AND(D57="รับราชการ",สมมติฐาน!$C$26&gt;0,A57&gt;=สมมติฐาน!$C$29,A57&lt;สมมติฐาน!$C$29+สมมติฐาน!$C$30),สมมติฐาน!$C$28*สมมติฐาน!$C$26*E57,0)</f>
        <v>0</v>
      </c>
      <c r="L57" s="14" t="n">
        <f aca="false">G57*สมมติฐาน!$C$20</f>
        <v>0</v>
      </c>
      <c r="M57" s="22" t="n">
        <f aca="false">(1+สมมติฐาน!$B$39)^(A57-1)*(1+สมมติฐาน!$B$40)^(A57-1)</f>
        <v>6.69293317952817</v>
      </c>
      <c r="N57" s="20" t="n">
        <f aca="false">A57-สมมติฐาน!$C$31</f>
        <v>41</v>
      </c>
      <c r="O57" s="20" t="n">
        <f aca="false">C57+สมมติฐาน!$C$32</f>
        <v>101</v>
      </c>
      <c r="P57" s="14" t="n">
        <f aca="false">(1+สมมติฐาน!$C$25)*สมมติฐาน!$B$37*LOOKUP(C57,สมมติฐาน!$A$59:$A$64,สมมติฐาน!$B$59:$B$64)*สมมติฐาน!$C$34*M57</f>
        <v>602363.986157536</v>
      </c>
      <c r="Q57" s="14" t="n">
        <f aca="false">IF(AND(สมมติฐาน!$C$26&gt;0,N57&gt;=0,N57&lt;=19),สมมติฐาน!$C$26*สมมติฐาน!$B$37*LOOKUP(MAX(N57,0),สมมติฐาน!$A$59:$A$64,สมมติฐาน!$B$59:$B$64)*สมมติฐาน!$C$34*M57,0)</f>
        <v>0</v>
      </c>
      <c r="R57" s="14" t="n">
        <f aca="false">IF(AND(สมมติฐาน!$C$27&gt;0,O57&lt;=สมมติฐาน!$C$33),สมมติฐาน!$C$27*สมมติฐาน!$B$37*LOOKUP(O57,สมมติฐาน!$A$59:$A$64,สมมติฐาน!$B$59:$B$64)*สมมติฐาน!$C$34*M57,0)</f>
        <v>0</v>
      </c>
      <c r="S57" s="14" t="n">
        <f aca="false">IF(D57="รับราชการ",0,$AD$6*12*(1+สมมติฐาน!$B$42)^(A57-35-1))</f>
        <v>883055.366769941</v>
      </c>
      <c r="T57" s="14" t="n">
        <f aca="false">IF(C57=สมมติฐาน!$C$8,$AD$7,0)+IF(C57=65,$AD$9,0)+IF(C57=70,$AD$11,0)+IF(A57=58,$AD$12+$AD$13,0)</f>
        <v>0</v>
      </c>
      <c r="U57" s="14" t="n">
        <f aca="false">G57+H57+I57+J57+K57+L57+P57+Q57+R57+S57+T57</f>
        <v>1485419.35292748</v>
      </c>
      <c r="V57" s="14" t="n">
        <f aca="false">U57/E57</f>
        <v>574170.444396594</v>
      </c>
      <c r="W57" s="22" t="n">
        <f aca="false">1/(1+สมมติฐาน!$B$41)^(A57-1)</f>
        <v>0.386537608564891</v>
      </c>
      <c r="X57" s="14" t="n">
        <f aca="false">V57*W57</f>
        <v>221938.4704857</v>
      </c>
    </row>
    <row r="58" customFormat="false" ht="15" hidden="false" customHeight="true" outlineLevel="0" collapsed="false">
      <c r="A58" s="23" t="n">
        <v>50</v>
      </c>
      <c r="B58" s="23" t="n">
        <f aca="false">สมมติฐาน!$B$38+A58-1</f>
        <v>2618</v>
      </c>
      <c r="C58" s="23" t="n">
        <f aca="false">สมมติฐาน!$C$7+A58-1</f>
        <v>74</v>
      </c>
      <c r="D58" s="24" t="str">
        <f aca="false">IF(C58&lt;สมมติฐาน!$C$8,"รับราชการ","รับบำนาญ")</f>
        <v>รับบำนาญ</v>
      </c>
      <c r="E58" s="25" t="n">
        <f aca="false">(1+สมมติฐาน!$B$39)^(A58-1)</f>
        <v>2.63881179320942</v>
      </c>
      <c r="F58" s="26" t="n">
        <f aca="false">IF(D58="รับราชการ",สมมติฐาน!$C$13*(1+สมมติฐาน!$C$15)^(A58-1)*E58,0)</f>
        <v>0</v>
      </c>
      <c r="G58" s="26" t="n">
        <f aca="false">F58*12</f>
        <v>0</v>
      </c>
      <c r="H58" s="26" t="n">
        <f aca="false">IF(D58="รับราชการ",IF(A58&gt;=สมมติฐาน!$C$19,สมมติฐาน!$C$18,IF(A58&gt;=สมมติฐาน!$C$17,สมมติฐาน!$C$16,0))*12*E58,0)</f>
        <v>0</v>
      </c>
      <c r="I58" s="26" t="n">
        <f aca="false">G58*สมมติฐาน!$C$21</f>
        <v>0</v>
      </c>
      <c r="J58" s="26" t="n">
        <f aca="false">IF(AND(D58="รับราชการ",A58&lt;=สมมติฐาน!$C$23),สมมติฐาน!$C$22*12*E58,0)</f>
        <v>0</v>
      </c>
      <c r="K58" s="26" t="n">
        <f aca="false">IF(AND(D58="รับราชการ",สมมติฐาน!$C$26&gt;0,A58&gt;=สมมติฐาน!$C$29,A58&lt;สมมติฐาน!$C$29+สมมติฐาน!$C$30),สมมติฐาน!$C$28*สมมติฐาน!$C$26*E58,0)</f>
        <v>0</v>
      </c>
      <c r="L58" s="26" t="n">
        <f aca="false">G58*สมมติฐาน!$C$20</f>
        <v>0</v>
      </c>
      <c r="M58" s="25" t="n">
        <f aca="false">(1+สมมติฐาน!$B$39)^(A58-1)*(1+สมมติฐาน!$B$40)^(A58-1)</f>
        <v>6.96332767998111</v>
      </c>
      <c r="N58" s="23" t="n">
        <f aca="false">A58-สมมติฐาน!$C$31</f>
        <v>42</v>
      </c>
      <c r="O58" s="23" t="n">
        <f aca="false">C58+สมมติฐาน!$C$32</f>
        <v>102</v>
      </c>
      <c r="P58" s="26" t="n">
        <f aca="false">(1+สมมติฐาน!$C$25)*สมมติฐาน!$B$37*LOOKUP(C58,สมมติฐาน!$A$59:$A$64,สมมติฐาน!$B$59:$B$64)*สมมติฐาน!$C$34*M58</f>
        <v>626699.4911983</v>
      </c>
      <c r="Q58" s="26" t="n">
        <f aca="false">IF(AND(สมมติฐาน!$C$26&gt;0,N58&gt;=0,N58&lt;=19),สมมติฐาน!$C$26*สมมติฐาน!$B$37*LOOKUP(MAX(N58,0),สมมติฐาน!$A$59:$A$64,สมมติฐาน!$B$59:$B$64)*สมมติฐาน!$C$34*M58,0)</f>
        <v>0</v>
      </c>
      <c r="R58" s="26" t="n">
        <f aca="false">IF(AND(สมมติฐาน!$C$27&gt;0,O58&lt;=สมมติฐาน!$C$33),สมมติฐาน!$C$27*สมมติฐาน!$B$37*LOOKUP(O58,สมมติฐาน!$A$59:$A$64,สมมติฐาน!$B$59:$B$64)*สมมติฐาน!$C$34*M58,0)</f>
        <v>0</v>
      </c>
      <c r="S58" s="26" t="n">
        <f aca="false">IF(D58="รับราชการ",0,$AD$6*12*(1+สมมติฐาน!$B$42)^(A58-35-1))</f>
        <v>891885.92043764</v>
      </c>
      <c r="T58" s="26" t="n">
        <f aca="false">IF(C58=สมมติฐาน!$C$8,$AD$7,0)+IF(C58=65,$AD$9,0)+IF(C58=70,$AD$11,0)+IF(A58=58,$AD$12+$AD$13,0)</f>
        <v>0</v>
      </c>
      <c r="U58" s="26" t="n">
        <f aca="false">G58+H58+I58+J58+K58+L58+P58+Q58+R58+S58+T58</f>
        <v>1518585.41163594</v>
      </c>
      <c r="V58" s="26" t="n">
        <f aca="false">U58/E58</f>
        <v>575480.758250281</v>
      </c>
      <c r="W58" s="25" t="n">
        <f aca="false">1/(1+สมมติฐาน!$B$41)^(A58-1)</f>
        <v>0.378958439769501</v>
      </c>
      <c r="X58" s="26" t="n">
        <f aca="false">V58*W58</f>
        <v>218083.290263896</v>
      </c>
    </row>
    <row r="59" customFormat="false" ht="15" hidden="false" customHeight="true" outlineLevel="0" collapsed="false">
      <c r="A59" s="20" t="n">
        <v>51</v>
      </c>
      <c r="B59" s="20" t="n">
        <f aca="false">สมมติฐาน!$B$38+A59-1</f>
        <v>2619</v>
      </c>
      <c r="C59" s="20" t="n">
        <f aca="false">สมมติฐาน!$C$7+A59-1</f>
        <v>75</v>
      </c>
      <c r="D59" s="21" t="str">
        <f aca="false">IF(C59&lt;สมมติฐาน!$C$8,"รับราชการ","รับบำนาญ")</f>
        <v>รับบำนาญ</v>
      </c>
      <c r="E59" s="22" t="n">
        <f aca="false">(1+สมมติฐาน!$B$39)^(A59-1)</f>
        <v>2.69158802907361</v>
      </c>
      <c r="F59" s="14" t="n">
        <f aca="false">IF(D59="รับราชการ",สมมติฐาน!$C$13*(1+สมมติฐาน!$C$15)^(A59-1)*E59,0)</f>
        <v>0</v>
      </c>
      <c r="G59" s="14" t="n">
        <f aca="false">F59*12</f>
        <v>0</v>
      </c>
      <c r="H59" s="14" t="n">
        <f aca="false">IF(D59="รับราชการ",IF(A59&gt;=สมมติฐาน!$C$19,สมมติฐาน!$C$18,IF(A59&gt;=สมมติฐาน!$C$17,สมมติฐาน!$C$16,0))*12*E59,0)</f>
        <v>0</v>
      </c>
      <c r="I59" s="14" t="n">
        <f aca="false">G59*สมมติฐาน!$C$21</f>
        <v>0</v>
      </c>
      <c r="J59" s="14" t="n">
        <f aca="false">IF(AND(D59="รับราชการ",A59&lt;=สมมติฐาน!$C$23),สมมติฐาน!$C$22*12*E59,0)</f>
        <v>0</v>
      </c>
      <c r="K59" s="14" t="n">
        <f aca="false">IF(AND(D59="รับราชการ",สมมติฐาน!$C$26&gt;0,A59&gt;=สมมติฐาน!$C$29,A59&lt;สมมติฐาน!$C$29+สมมติฐาน!$C$30),สมมติฐาน!$C$28*สมมติฐาน!$C$26*E59,0)</f>
        <v>0</v>
      </c>
      <c r="L59" s="14" t="n">
        <f aca="false">G59*สมมติฐาน!$C$20</f>
        <v>0</v>
      </c>
      <c r="M59" s="22" t="n">
        <f aca="false">(1+สมมติฐาน!$B$39)^(A59-1)*(1+สมมติฐาน!$B$40)^(A59-1)</f>
        <v>7.24464611825235</v>
      </c>
      <c r="N59" s="20" t="n">
        <f aca="false">A59-สมมติฐาน!$C$31</f>
        <v>43</v>
      </c>
      <c r="O59" s="20" t="n">
        <f aca="false">C59+สมมติฐาน!$C$32</f>
        <v>103</v>
      </c>
      <c r="P59" s="14" t="n">
        <f aca="false">(1+สมมติฐาน!$C$25)*สมมติฐาน!$B$37*LOOKUP(C59,สมมติฐาน!$A$59:$A$64,สมมติฐาน!$B$59:$B$64)*สมมติฐาน!$C$34*M59</f>
        <v>652018.150642711</v>
      </c>
      <c r="Q59" s="14" t="n">
        <f aca="false">IF(AND(สมมติฐาน!$C$26&gt;0,N59&gt;=0,N59&lt;=19),สมมติฐาน!$C$26*สมมติฐาน!$B$37*LOOKUP(MAX(N59,0),สมมติฐาน!$A$59:$A$64,สมมติฐาน!$B$59:$B$64)*สมมติฐาน!$C$34*M59,0)</f>
        <v>0</v>
      </c>
      <c r="R59" s="14" t="n">
        <f aca="false">IF(AND(สมมติฐาน!$C$27&gt;0,O59&lt;=สมมติฐาน!$C$33),สมมติฐาน!$C$27*สมมติฐาน!$B$37*LOOKUP(O59,สมมติฐาน!$A$59:$A$64,สมมติฐาน!$B$59:$B$64)*สมมติฐาน!$C$34*M59,0)</f>
        <v>0</v>
      </c>
      <c r="S59" s="14" t="n">
        <f aca="false">IF(D59="รับราชการ",0,$AD$6*12*(1+สมมติฐาน!$B$42)^(A59-35-1))</f>
        <v>900804.779642017</v>
      </c>
      <c r="T59" s="14" t="n">
        <f aca="false">IF(C59=สมมติฐาน!$C$8,$AD$7,0)+IF(C59=65,$AD$9,0)+IF(C59=70,$AD$11,0)+IF(A59=58,$AD$12+$AD$13,0)</f>
        <v>0</v>
      </c>
      <c r="U59" s="14" t="n">
        <f aca="false">G59+H59+I59+J59+K59+L59+P59+Q59+R59+S59+T59</f>
        <v>1552822.93028473</v>
      </c>
      <c r="V59" s="14" t="n">
        <f aca="false">U59/E59</f>
        <v>576917.014606868</v>
      </c>
      <c r="W59" s="22" t="n">
        <f aca="false">1/(1+สมมติฐาน!$B$41)^(A59-1)</f>
        <v>0.371527882126962</v>
      </c>
      <c r="X59" s="14" t="n">
        <f aca="false">V59*W59</f>
        <v>214340.756599899</v>
      </c>
    </row>
    <row r="60" customFormat="false" ht="15" hidden="false" customHeight="true" outlineLevel="0" collapsed="false">
      <c r="A60" s="23" t="n">
        <v>52</v>
      </c>
      <c r="B60" s="23" t="n">
        <f aca="false">สมมติฐาน!$B$38+A60-1</f>
        <v>2620</v>
      </c>
      <c r="C60" s="23" t="n">
        <f aca="false">สมมติฐาน!$C$7+A60-1</f>
        <v>76</v>
      </c>
      <c r="D60" s="24" t="str">
        <f aca="false">IF(C60&lt;สมมติฐาน!$C$8,"รับราชการ","รับบำนาญ")</f>
        <v>รับบำนาญ</v>
      </c>
      <c r="E60" s="25" t="n">
        <f aca="false">(1+สมมติฐาน!$B$39)^(A60-1)</f>
        <v>2.74541978965508</v>
      </c>
      <c r="F60" s="26" t="n">
        <f aca="false">IF(D60="รับราชการ",สมมติฐาน!$C$13*(1+สมมติฐาน!$C$15)^(A60-1)*E60,0)</f>
        <v>0</v>
      </c>
      <c r="G60" s="26" t="n">
        <f aca="false">F60*12</f>
        <v>0</v>
      </c>
      <c r="H60" s="26" t="n">
        <f aca="false">IF(D60="รับราชการ",IF(A60&gt;=สมมติฐาน!$C$19,สมมติฐาน!$C$18,IF(A60&gt;=สมมติฐาน!$C$17,สมมติฐาน!$C$16,0))*12*E60,0)</f>
        <v>0</v>
      </c>
      <c r="I60" s="26" t="n">
        <f aca="false">G60*สมมติฐาน!$C$21</f>
        <v>0</v>
      </c>
      <c r="J60" s="26" t="n">
        <f aca="false">IF(AND(D60="รับราชการ",A60&lt;=สมมติฐาน!$C$23),สมมติฐาน!$C$22*12*E60,0)</f>
        <v>0</v>
      </c>
      <c r="K60" s="26" t="n">
        <f aca="false">IF(AND(D60="รับราชการ",สมมติฐาน!$C$26&gt;0,A60&gt;=สมมติฐาน!$C$29,A60&lt;สมมติฐาน!$C$29+สมมติฐาน!$C$30),สมมติฐาน!$C$28*สมมติฐาน!$C$26*E60,0)</f>
        <v>0</v>
      </c>
      <c r="L60" s="26" t="n">
        <f aca="false">G60*สมมติฐาน!$C$20</f>
        <v>0</v>
      </c>
      <c r="M60" s="25" t="n">
        <f aca="false">(1+สมมติฐาน!$B$39)^(A60-1)*(1+สมมติฐาน!$B$40)^(A60-1)</f>
        <v>7.53732982142974</v>
      </c>
      <c r="N60" s="23" t="n">
        <f aca="false">A60-สมมติฐาน!$C$31</f>
        <v>44</v>
      </c>
      <c r="O60" s="23" t="n">
        <f aca="false">C60+สมมติฐาน!$C$32</f>
        <v>104</v>
      </c>
      <c r="P60" s="26" t="n">
        <f aca="false">(1+สมมติฐาน!$C$25)*สมมติฐาน!$B$37*LOOKUP(C60,สมมติฐาน!$A$59:$A$64,สมมติฐาน!$B$59:$B$64)*สมมติฐาน!$C$34*M60</f>
        <v>678359.683928677</v>
      </c>
      <c r="Q60" s="26" t="n">
        <f aca="false">IF(AND(สมมติฐาน!$C$26&gt;0,N60&gt;=0,N60&lt;=19),สมมติฐาน!$C$26*สมมติฐาน!$B$37*LOOKUP(MAX(N60,0),สมมติฐาน!$A$59:$A$64,สมมติฐาน!$B$59:$B$64)*สมมติฐาน!$C$34*M60,0)</f>
        <v>0</v>
      </c>
      <c r="R60" s="26" t="n">
        <f aca="false">IF(AND(สมมติฐาน!$C$27&gt;0,O60&lt;=สมมติฐาน!$C$33),สมมติฐาน!$C$27*สมมติฐาน!$B$37*LOOKUP(O60,สมมติฐาน!$A$59:$A$64,สมมติฐาน!$B$59:$B$64)*สมมติฐาน!$C$34*M60,0)</f>
        <v>0</v>
      </c>
      <c r="S60" s="26" t="n">
        <f aca="false">IF(D60="รับราชการ",0,$AD$6*12*(1+สมมติฐาน!$B$42)^(A60-35-1))</f>
        <v>909812.827438437</v>
      </c>
      <c r="T60" s="26" t="n">
        <f aca="false">IF(C60=สมมติฐาน!$C$8,$AD$7,0)+IF(C60=65,$AD$9,0)+IF(C60=70,$AD$11,0)+IF(A60=58,$AD$12+$AD$13,0)</f>
        <v>0</v>
      </c>
      <c r="U60" s="26" t="n">
        <f aca="false">G60+H60+I60+J60+K60+L60+P60+Q60+R60+S60+T60</f>
        <v>1588172.51136711</v>
      </c>
      <c r="V60" s="26" t="n">
        <f aca="false">U60/E60</f>
        <v>578480.754510276</v>
      </c>
      <c r="W60" s="25" t="n">
        <f aca="false">1/(1+สมมติฐาน!$B$41)^(A60-1)</f>
        <v>0.3642430216931</v>
      </c>
      <c r="X60" s="26" t="n">
        <f aca="false">V60*W60</f>
        <v>210707.578014127</v>
      </c>
    </row>
    <row r="61" customFormat="false" ht="15" hidden="false" customHeight="true" outlineLevel="0" collapsed="false">
      <c r="A61" s="20" t="n">
        <v>53</v>
      </c>
      <c r="B61" s="20" t="n">
        <f aca="false">สมมติฐาน!$B$38+A61-1</f>
        <v>2621</v>
      </c>
      <c r="C61" s="20" t="n">
        <f aca="false">สมมติฐาน!$C$7+A61-1</f>
        <v>77</v>
      </c>
      <c r="D61" s="21" t="str">
        <f aca="false">IF(C61&lt;สมมติฐาน!$C$8,"รับราชการ","รับบำนาญ")</f>
        <v>รับบำนาญ</v>
      </c>
      <c r="E61" s="22" t="n">
        <f aca="false">(1+สมมติฐาน!$B$39)^(A61-1)</f>
        <v>2.80032818544818</v>
      </c>
      <c r="F61" s="14" t="n">
        <f aca="false">IF(D61="รับราชการ",สมมติฐาน!$C$13*(1+สมมติฐาน!$C$15)^(A61-1)*E61,0)</f>
        <v>0</v>
      </c>
      <c r="G61" s="14" t="n">
        <f aca="false">F61*12</f>
        <v>0</v>
      </c>
      <c r="H61" s="14" t="n">
        <f aca="false">IF(D61="รับราชการ",IF(A61&gt;=สมมติฐาน!$C$19,สมมติฐาน!$C$18,IF(A61&gt;=สมมติฐาน!$C$17,สมมติฐาน!$C$16,0))*12*E61,0)</f>
        <v>0</v>
      </c>
      <c r="I61" s="14" t="n">
        <f aca="false">G61*สมมติฐาน!$C$21</f>
        <v>0</v>
      </c>
      <c r="J61" s="14" t="n">
        <f aca="false">IF(AND(D61="รับราชการ",A61&lt;=สมมติฐาน!$C$23),สมมติฐาน!$C$22*12*E61,0)</f>
        <v>0</v>
      </c>
      <c r="K61" s="14" t="n">
        <f aca="false">IF(AND(D61="รับราชการ",สมมติฐาน!$C$26&gt;0,A61&gt;=สมมติฐาน!$C$29,A61&lt;สมมติฐาน!$C$29+สมมติฐาน!$C$30),สมมติฐาน!$C$28*สมมติฐาน!$C$26*E61,0)</f>
        <v>0</v>
      </c>
      <c r="L61" s="14" t="n">
        <f aca="false">G61*สมมติฐาน!$C$20</f>
        <v>0</v>
      </c>
      <c r="M61" s="22" t="n">
        <f aca="false">(1+สมมติฐาน!$B$39)^(A61-1)*(1+สมมติฐาน!$B$40)^(A61-1)</f>
        <v>7.84183794621551</v>
      </c>
      <c r="N61" s="20" t="n">
        <f aca="false">A61-สมมติฐาน!$C$31</f>
        <v>45</v>
      </c>
      <c r="O61" s="20" t="n">
        <f aca="false">C61+สมมติฐาน!$C$32</f>
        <v>105</v>
      </c>
      <c r="P61" s="14" t="n">
        <f aca="false">(1+สมมติฐาน!$C$25)*สมมติฐาน!$B$37*LOOKUP(C61,สมมติฐาน!$A$59:$A$64,สมมติฐาน!$B$59:$B$64)*สมมติฐาน!$C$34*M61</f>
        <v>705765.415159396</v>
      </c>
      <c r="Q61" s="14" t="n">
        <f aca="false">IF(AND(สมมติฐาน!$C$26&gt;0,N61&gt;=0,N61&lt;=19),สมมติฐาน!$C$26*สมมติฐาน!$B$37*LOOKUP(MAX(N61,0),สมมติฐาน!$A$59:$A$64,สมมติฐาน!$B$59:$B$64)*สมมติฐาน!$C$34*M61,0)</f>
        <v>0</v>
      </c>
      <c r="R61" s="14" t="n">
        <f aca="false">IF(AND(สมมติฐาน!$C$27&gt;0,O61&lt;=สมมติฐาน!$C$33),สมมติฐาน!$C$27*สมมติฐาน!$B$37*LOOKUP(O61,สมมติฐาน!$A$59:$A$64,สมมติฐาน!$B$59:$B$64)*สมมติฐาน!$C$34*M61,0)</f>
        <v>0</v>
      </c>
      <c r="S61" s="14" t="n">
        <f aca="false">IF(D61="รับราชการ",0,$AD$6*12*(1+สมมติฐาน!$B$42)^(A61-35-1))</f>
        <v>918910.955712821</v>
      </c>
      <c r="T61" s="14" t="n">
        <f aca="false">IF(C61=สมมติฐาน!$C$8,$AD$7,0)+IF(C61=65,$AD$9,0)+IF(C61=70,$AD$11,0)+IF(A61=58,$AD$12+$AD$13,0)</f>
        <v>0</v>
      </c>
      <c r="U61" s="14" t="n">
        <f aca="false">G61+H61+I61+J61+K61+L61+P61+Q61+R61+S61+T61</f>
        <v>1624676.37087222</v>
      </c>
      <c r="V61" s="14" t="n">
        <f aca="false">U61/E61</f>
        <v>580173.559411642</v>
      </c>
      <c r="W61" s="22" t="n">
        <f aca="false">1/(1+สมมติฐาน!$B$41)^(A61-1)</f>
        <v>0.357101001659902</v>
      </c>
      <c r="X61" s="14" t="n">
        <f aca="false">V61*W61</f>
        <v>207180.559202488</v>
      </c>
    </row>
    <row r="62" customFormat="false" ht="15" hidden="false" customHeight="true" outlineLevel="0" collapsed="false">
      <c r="A62" s="23" t="n">
        <v>54</v>
      </c>
      <c r="B62" s="23" t="n">
        <f aca="false">สมมติฐาน!$B$38+A62-1</f>
        <v>2622</v>
      </c>
      <c r="C62" s="23" t="n">
        <f aca="false">สมมติฐาน!$C$7+A62-1</f>
        <v>78</v>
      </c>
      <c r="D62" s="24" t="str">
        <f aca="false">IF(C62&lt;สมมติฐาน!$C$8,"รับราชการ","รับบำนาญ")</f>
        <v>รับบำนาญ</v>
      </c>
      <c r="E62" s="25" t="n">
        <f aca="false">(1+สมมติฐาน!$B$39)^(A62-1)</f>
        <v>2.85633474915715</v>
      </c>
      <c r="F62" s="26" t="n">
        <f aca="false">IF(D62="รับราชการ",สมมติฐาน!$C$13*(1+สมมติฐาน!$C$15)^(A62-1)*E62,0)</f>
        <v>0</v>
      </c>
      <c r="G62" s="26" t="n">
        <f aca="false">F62*12</f>
        <v>0</v>
      </c>
      <c r="H62" s="26" t="n">
        <f aca="false">IF(D62="รับราชการ",IF(A62&gt;=สมมติฐาน!$C$19,สมมติฐาน!$C$18,IF(A62&gt;=สมมติฐาน!$C$17,สมมติฐาน!$C$16,0))*12*E62,0)</f>
        <v>0</v>
      </c>
      <c r="I62" s="26" t="n">
        <f aca="false">G62*สมมติฐาน!$C$21</f>
        <v>0</v>
      </c>
      <c r="J62" s="26" t="n">
        <f aca="false">IF(AND(D62="รับราชการ",A62&lt;=สมมติฐาน!$C$23),สมมติฐาน!$C$22*12*E62,0)</f>
        <v>0</v>
      </c>
      <c r="K62" s="26" t="n">
        <f aca="false">IF(AND(D62="รับราชการ",สมมติฐาน!$C$26&gt;0,A62&gt;=สมมติฐาน!$C$29,A62&lt;สมมติฐาน!$C$29+สมมติฐาน!$C$30),สมมติฐาน!$C$28*สมมติฐาน!$C$26*E62,0)</f>
        <v>0</v>
      </c>
      <c r="L62" s="26" t="n">
        <f aca="false">G62*สมมติฐาน!$C$20</f>
        <v>0</v>
      </c>
      <c r="M62" s="25" t="n">
        <f aca="false">(1+สมมติฐาน!$B$39)^(A62-1)*(1+สมมติฐาน!$B$40)^(A62-1)</f>
        <v>8.15864819924261</v>
      </c>
      <c r="N62" s="23" t="n">
        <f aca="false">A62-สมมติฐาน!$C$31</f>
        <v>46</v>
      </c>
      <c r="O62" s="23" t="n">
        <f aca="false">C62+สมมติฐาน!$C$32</f>
        <v>106</v>
      </c>
      <c r="P62" s="26" t="n">
        <f aca="false">(1+สมมติฐาน!$C$25)*สมมติฐาน!$B$37*LOOKUP(C62,สมมติฐาน!$A$59:$A$64,สมมติฐาน!$B$59:$B$64)*สมมติฐาน!$C$34*M62</f>
        <v>734278.337931835</v>
      </c>
      <c r="Q62" s="26" t="n">
        <f aca="false">IF(AND(สมมติฐาน!$C$26&gt;0,N62&gt;=0,N62&lt;=19),สมมติฐาน!$C$26*สมมติฐาน!$B$37*LOOKUP(MAX(N62,0),สมมติฐาน!$A$59:$A$64,สมมติฐาน!$B$59:$B$64)*สมมติฐาน!$C$34*M62,0)</f>
        <v>0</v>
      </c>
      <c r="R62" s="26" t="n">
        <f aca="false">IF(AND(สมมติฐาน!$C$27&gt;0,O62&lt;=สมมติฐาน!$C$33),สมมติฐาน!$C$27*สมมติฐาน!$B$37*LOOKUP(O62,สมมติฐาน!$A$59:$A$64,สมมติฐาน!$B$59:$B$64)*สมมติฐาน!$C$34*M62,0)</f>
        <v>0</v>
      </c>
      <c r="S62" s="26" t="n">
        <f aca="false">IF(D62="รับราชการ",0,$AD$6*12*(1+สมมติฐาน!$B$42)^(A62-35-1))</f>
        <v>928100.06526995</v>
      </c>
      <c r="T62" s="26" t="n">
        <f aca="false">IF(C62=สมมติฐาน!$C$8,$AD$7,0)+IF(C62=65,$AD$9,0)+IF(C62=70,$AD$11,0)+IF(A62=58,$AD$12+$AD$13,0)</f>
        <v>0</v>
      </c>
      <c r="U62" s="26" t="n">
        <f aca="false">G62+H62+I62+J62+K62+L62+P62+Q62+R62+S62+T62</f>
        <v>1662378.40320178</v>
      </c>
      <c r="V62" s="26" t="n">
        <f aca="false">U62/E62</f>
        <v>581997.051883475</v>
      </c>
      <c r="W62" s="25" t="n">
        <f aca="false">1/(1+สมมติฐาน!$B$41)^(A62-1)</f>
        <v>0.350099021235198</v>
      </c>
      <c r="X62" s="26" t="n">
        <f aca="false">V62*W62</f>
        <v>203756.598226175</v>
      </c>
    </row>
    <row r="63" customFormat="false" ht="15" hidden="false" customHeight="true" outlineLevel="0" collapsed="false">
      <c r="A63" s="20" t="n">
        <v>55</v>
      </c>
      <c r="B63" s="20" t="n">
        <f aca="false">สมมติฐาน!$B$38+A63-1</f>
        <v>2623</v>
      </c>
      <c r="C63" s="20" t="n">
        <f aca="false">สมมติฐาน!$C$7+A63-1</f>
        <v>79</v>
      </c>
      <c r="D63" s="21" t="str">
        <f aca="false">IF(C63&lt;สมมติฐาน!$C$8,"รับราชการ","รับบำนาญ")</f>
        <v>รับบำนาญ</v>
      </c>
      <c r="E63" s="22" t="n">
        <f aca="false">(1+สมมติฐาน!$B$39)^(A63-1)</f>
        <v>2.91346144414029</v>
      </c>
      <c r="F63" s="14" t="n">
        <f aca="false">IF(D63="รับราชการ",สมมติฐาน!$C$13*(1+สมมติฐาน!$C$15)^(A63-1)*E63,0)</f>
        <v>0</v>
      </c>
      <c r="G63" s="14" t="n">
        <f aca="false">F63*12</f>
        <v>0</v>
      </c>
      <c r="H63" s="14" t="n">
        <f aca="false">IF(D63="รับราชการ",IF(A63&gt;=สมมติฐาน!$C$19,สมมติฐาน!$C$18,IF(A63&gt;=สมมติฐาน!$C$17,สมมติฐาน!$C$16,0))*12*E63,0)</f>
        <v>0</v>
      </c>
      <c r="I63" s="14" t="n">
        <f aca="false">G63*สมมติฐาน!$C$21</f>
        <v>0</v>
      </c>
      <c r="J63" s="14" t="n">
        <f aca="false">IF(AND(D63="รับราชการ",A63&lt;=สมมติฐาน!$C$23),สมมติฐาน!$C$22*12*E63,0)</f>
        <v>0</v>
      </c>
      <c r="K63" s="14" t="n">
        <f aca="false">IF(AND(D63="รับราชการ",สมมติฐาน!$C$26&gt;0,A63&gt;=สมมติฐาน!$C$29,A63&lt;สมมติฐาน!$C$29+สมมติฐาน!$C$30),สมมติฐาน!$C$28*สมมติฐาน!$C$26*E63,0)</f>
        <v>0</v>
      </c>
      <c r="L63" s="14" t="n">
        <f aca="false">G63*สมมติฐาน!$C$20</f>
        <v>0</v>
      </c>
      <c r="M63" s="22" t="n">
        <f aca="false">(1+สมมติฐาน!$B$39)^(A63-1)*(1+สมมติฐาน!$B$40)^(A63-1)</f>
        <v>8.48825758649202</v>
      </c>
      <c r="N63" s="20" t="n">
        <f aca="false">A63-สมมติฐาน!$C$31</f>
        <v>47</v>
      </c>
      <c r="O63" s="20" t="n">
        <f aca="false">C63+สมมติฐาน!$C$32</f>
        <v>107</v>
      </c>
      <c r="P63" s="14" t="n">
        <f aca="false">(1+สมมติฐาน!$C$25)*สมมติฐาน!$B$37*LOOKUP(C63,สมมติฐาน!$A$59:$A$64,สมมติฐาน!$B$59:$B$64)*สมมติฐาน!$C$34*M63</f>
        <v>763943.182784281</v>
      </c>
      <c r="Q63" s="14" t="n">
        <f aca="false">IF(AND(สมมติฐาน!$C$26&gt;0,N63&gt;=0,N63&lt;=19),สมมติฐาน!$C$26*สมมติฐาน!$B$37*LOOKUP(MAX(N63,0),สมมติฐาน!$A$59:$A$64,สมมติฐาน!$B$59:$B$64)*สมมติฐาน!$C$34*M63,0)</f>
        <v>0</v>
      </c>
      <c r="R63" s="14" t="n">
        <f aca="false">IF(AND(สมมติฐาน!$C$27&gt;0,O63&lt;=สมมติฐาน!$C$33),สมมติฐาน!$C$27*สมมติฐาน!$B$37*LOOKUP(O63,สมมติฐาน!$A$59:$A$64,สมมติฐาน!$B$59:$B$64)*สมมติฐาน!$C$34*M63,0)</f>
        <v>0</v>
      </c>
      <c r="S63" s="14" t="n">
        <f aca="false">IF(D63="รับราชการ",0,$AD$6*12*(1+สมมติฐาน!$B$42)^(A63-35-1))</f>
        <v>937381.065922649</v>
      </c>
      <c r="T63" s="14" t="n">
        <f aca="false">IF(C63=สมมติฐาน!$C$8,$AD$7,0)+IF(C63=65,$AD$9,0)+IF(C63=70,$AD$11,0)+IF(A63=58,$AD$12+$AD$13,0)</f>
        <v>0</v>
      </c>
      <c r="U63" s="14" t="n">
        <f aca="false">G63+H63+I63+J63+K63+L63+P63+Q63+R63+S63+T63</f>
        <v>1701324.24870693</v>
      </c>
      <c r="V63" s="14" t="n">
        <f aca="false">U63/E63</f>
        <v>583952.896349024</v>
      </c>
      <c r="W63" s="22" t="n">
        <f aca="false">1/(1+สมมติฐาน!$B$41)^(A63-1)</f>
        <v>0.343234334544311</v>
      </c>
      <c r="X63" s="14" t="n">
        <f aca="false">V63*W63</f>
        <v>200432.68378358</v>
      </c>
    </row>
    <row r="64" customFormat="false" ht="15" hidden="false" customHeight="true" outlineLevel="0" collapsed="false">
      <c r="A64" s="23" t="n">
        <v>56</v>
      </c>
      <c r="B64" s="23" t="n">
        <f aca="false">สมมติฐาน!$B$38+A64-1</f>
        <v>2624</v>
      </c>
      <c r="C64" s="23" t="n">
        <f aca="false">สมมติฐาน!$C$7+A64-1</f>
        <v>80</v>
      </c>
      <c r="D64" s="24" t="str">
        <f aca="false">IF(C64&lt;สมมติฐาน!$C$8,"รับราชการ","รับบำนาญ")</f>
        <v>รับบำนาญ</v>
      </c>
      <c r="E64" s="25" t="n">
        <f aca="false">(1+สมมติฐาน!$B$39)^(A64-1)</f>
        <v>2.97173067302309</v>
      </c>
      <c r="F64" s="26" t="n">
        <f aca="false">IF(D64="รับราชการ",สมมติฐาน!$C$13*(1+สมมติฐาน!$C$15)^(A64-1)*E64,0)</f>
        <v>0</v>
      </c>
      <c r="G64" s="26" t="n">
        <f aca="false">F64*12</f>
        <v>0</v>
      </c>
      <c r="H64" s="26" t="n">
        <f aca="false">IF(D64="รับราชการ",IF(A64&gt;=สมมติฐาน!$C$19,สมมติฐาน!$C$18,IF(A64&gt;=สมมติฐาน!$C$17,สมมติฐาน!$C$16,0))*12*E64,0)</f>
        <v>0</v>
      </c>
      <c r="I64" s="26" t="n">
        <f aca="false">G64*สมมติฐาน!$C$21</f>
        <v>0</v>
      </c>
      <c r="J64" s="26" t="n">
        <f aca="false">IF(AND(D64="รับราชการ",A64&lt;=สมมติฐาน!$C$23),สมมติฐาน!$C$22*12*E64,0)</f>
        <v>0</v>
      </c>
      <c r="K64" s="26" t="n">
        <f aca="false">IF(AND(D64="รับราชการ",สมมติฐาน!$C$26&gt;0,A64&gt;=สมมติฐาน!$C$29,A64&lt;สมมติฐาน!$C$29+สมมติฐาน!$C$30),สมมติฐาน!$C$28*สมมติฐาน!$C$26*E64,0)</f>
        <v>0</v>
      </c>
      <c r="L64" s="26" t="n">
        <f aca="false">G64*สมมติฐาน!$C$20</f>
        <v>0</v>
      </c>
      <c r="M64" s="25" t="n">
        <f aca="false">(1+สมมติฐาน!$B$39)^(A64-1)*(1+สมมติฐาน!$B$40)^(A64-1)</f>
        <v>8.83118319298629</v>
      </c>
      <c r="N64" s="23" t="n">
        <f aca="false">A64-สมมติฐาน!$C$31</f>
        <v>48</v>
      </c>
      <c r="O64" s="23" t="n">
        <f aca="false">C64+สมมติฐาน!$C$32</f>
        <v>108</v>
      </c>
      <c r="P64" s="26" t="n">
        <f aca="false">(1+สมมติฐาน!$C$25)*สมมติฐาน!$B$37*LOOKUP(C64,สมมติฐาน!$A$59:$A$64,สมมติฐาน!$B$59:$B$64)*สมมติฐาน!$C$34*M64</f>
        <v>1059741.98315835</v>
      </c>
      <c r="Q64" s="26" t="n">
        <f aca="false">IF(AND(สมมติฐาน!$C$26&gt;0,N64&gt;=0,N64&lt;=19),สมมติฐาน!$C$26*สมมติฐาน!$B$37*LOOKUP(MAX(N64,0),สมมติฐาน!$A$59:$A$64,สมมติฐาน!$B$59:$B$64)*สมมติฐาน!$C$34*M64,0)</f>
        <v>0</v>
      </c>
      <c r="R64" s="26" t="n">
        <f aca="false">IF(AND(สมมติฐาน!$C$27&gt;0,O64&lt;=สมมติฐาน!$C$33),สมมติฐาน!$C$27*สมมติฐาน!$B$37*LOOKUP(O64,สมมติฐาน!$A$59:$A$64,สมมติฐาน!$B$59:$B$64)*สมมติฐาน!$C$34*M64,0)</f>
        <v>0</v>
      </c>
      <c r="S64" s="26" t="n">
        <f aca="false">IF(D64="รับราชการ",0,$AD$6*12*(1+สมมติฐาน!$B$42)^(A64-35-1))</f>
        <v>946754.876581876</v>
      </c>
      <c r="T64" s="26" t="n">
        <f aca="false">IF(C64=สมมติฐาน!$C$8,$AD$7,0)+IF(C64=65,$AD$9,0)+IF(C64=70,$AD$11,0)+IF(A64=58,$AD$12+$AD$13,0)</f>
        <v>0</v>
      </c>
      <c r="U64" s="26" t="n">
        <f aca="false">G64+H64+I64+J64+K64+L64+P64+Q64+R64+S64+T64</f>
        <v>2006496.85974023</v>
      </c>
      <c r="V64" s="26" t="n">
        <f aca="false">U64/E64</f>
        <v>675194.720017832</v>
      </c>
      <c r="W64" s="25" t="n">
        <f aca="false">1/(1+สมมติฐาน!$B$41)^(A64-1)</f>
        <v>0.336504249553246</v>
      </c>
      <c r="X64" s="26" t="n">
        <f aca="false">V64*W64</f>
        <v>227205.892561915</v>
      </c>
    </row>
    <row r="65" customFormat="false" ht="15" hidden="false" customHeight="true" outlineLevel="0" collapsed="false">
      <c r="A65" s="20" t="n">
        <v>57</v>
      </c>
      <c r="B65" s="20" t="n">
        <f aca="false">สมมติฐาน!$B$38+A65-1</f>
        <v>2625</v>
      </c>
      <c r="C65" s="20" t="n">
        <f aca="false">สมมติฐาน!$C$7+A65-1</f>
        <v>81</v>
      </c>
      <c r="D65" s="21" t="str">
        <f aca="false">IF(C65&lt;สมมติฐาน!$C$8,"รับราชการ","รับบำนาญ")</f>
        <v>รับบำนาญ</v>
      </c>
      <c r="E65" s="22" t="n">
        <f aca="false">(1+สมมติฐาน!$B$39)^(A65-1)</f>
        <v>3.03116528648356</v>
      </c>
      <c r="F65" s="14" t="n">
        <f aca="false">IF(D65="รับราชการ",สมมติฐาน!$C$13*(1+สมมติฐาน!$C$15)^(A65-1)*E65,0)</f>
        <v>0</v>
      </c>
      <c r="G65" s="14" t="n">
        <f aca="false">F65*12</f>
        <v>0</v>
      </c>
      <c r="H65" s="14" t="n">
        <f aca="false">IF(D65="รับราชการ",IF(A65&gt;=สมมติฐาน!$C$19,สมมติฐาน!$C$18,IF(A65&gt;=สมมติฐาน!$C$17,สมมติฐาน!$C$16,0))*12*E65,0)</f>
        <v>0</v>
      </c>
      <c r="I65" s="14" t="n">
        <f aca="false">G65*สมมติฐาน!$C$21</f>
        <v>0</v>
      </c>
      <c r="J65" s="14" t="n">
        <f aca="false">IF(AND(D65="รับราชการ",A65&lt;=สมมติฐาน!$C$23),สมมติฐาน!$C$22*12*E65,0)</f>
        <v>0</v>
      </c>
      <c r="K65" s="14" t="n">
        <f aca="false">IF(AND(D65="รับราชการ",สมมติฐาน!$C$26&gt;0,A65&gt;=สมมติฐาน!$C$29,A65&lt;สมมติฐาน!$C$29+สมมติฐาน!$C$30),สมมติฐาน!$C$28*สมมติฐาน!$C$26*E65,0)</f>
        <v>0</v>
      </c>
      <c r="L65" s="14" t="n">
        <f aca="false">G65*สมมติฐาน!$C$20</f>
        <v>0</v>
      </c>
      <c r="M65" s="22" t="n">
        <f aca="false">(1+สมมติฐาน!$B$39)^(A65-1)*(1+สมมติฐาน!$B$40)^(A65-1)</f>
        <v>9.18796299398294</v>
      </c>
      <c r="N65" s="20" t="n">
        <f aca="false">A65-สมมติฐาน!$C$31</f>
        <v>49</v>
      </c>
      <c r="O65" s="20" t="n">
        <f aca="false">C65+สมมติฐาน!$C$32</f>
        <v>109</v>
      </c>
      <c r="P65" s="14" t="n">
        <f aca="false">(1+สมมติฐาน!$C$25)*สมมติฐาน!$B$37*LOOKUP(C65,สมมติฐาน!$A$59:$A$64,สมมติฐาน!$B$59:$B$64)*สมมติฐาน!$C$34*M65</f>
        <v>1102555.55927795</v>
      </c>
      <c r="Q65" s="14" t="n">
        <f aca="false">IF(AND(สมมติฐาน!$C$26&gt;0,N65&gt;=0,N65&lt;=19),สมมติฐาน!$C$26*สมมติฐาน!$B$37*LOOKUP(MAX(N65,0),สมมติฐาน!$A$59:$A$64,สมมติฐาน!$B$59:$B$64)*สมมติฐาน!$C$34*M65,0)</f>
        <v>0</v>
      </c>
      <c r="R65" s="14" t="n">
        <f aca="false">IF(AND(สมมติฐาน!$C$27&gt;0,O65&lt;=สมมติฐาน!$C$33),สมมติฐาน!$C$27*สมมติฐาน!$B$37*LOOKUP(O65,สมมติฐาน!$A$59:$A$64,สมมติฐาน!$B$59:$B$64)*สมมติฐาน!$C$34*M65,0)</f>
        <v>0</v>
      </c>
      <c r="S65" s="14" t="n">
        <f aca="false">IF(D65="รับราชการ",0,$AD$6*12*(1+สมมติฐาน!$B$42)^(A65-35-1))</f>
        <v>956222.425347694</v>
      </c>
      <c r="T65" s="14" t="n">
        <f aca="false">IF(C65=สมมติฐาน!$C$8,$AD$7,0)+IF(C65=65,$AD$9,0)+IF(C65=70,$AD$11,0)+IF(A65=58,$AD$12+$AD$13,0)</f>
        <v>0</v>
      </c>
      <c r="U65" s="14" t="n">
        <f aca="false">G65+H65+I65+J65+K65+L65+P65+Q65+R65+S65+T65</f>
        <v>2058777.98462565</v>
      </c>
      <c r="V65" s="14" t="n">
        <f aca="false">U65/E65</f>
        <v>679203.471287449</v>
      </c>
      <c r="W65" s="22" t="n">
        <f aca="false">1/(1+สมมติฐาน!$B$41)^(A65-1)</f>
        <v>0.329906127012987</v>
      </c>
      <c r="X65" s="14" t="n">
        <f aca="false">V65*W65</f>
        <v>224073.386666219</v>
      </c>
    </row>
    <row r="66" customFormat="false" ht="15" hidden="false" customHeight="true" outlineLevel="0" collapsed="false">
      <c r="A66" s="23" t="n">
        <v>58</v>
      </c>
      <c r="B66" s="23" t="n">
        <f aca="false">สมมติฐาน!$B$38+A66-1</f>
        <v>2626</v>
      </c>
      <c r="C66" s="23" t="n">
        <f aca="false">สมมติฐาน!$C$7+A66-1</f>
        <v>82</v>
      </c>
      <c r="D66" s="24" t="str">
        <f aca="false">IF(C66&lt;สมมติฐาน!$C$8,"รับราชการ","รับบำนาญ")</f>
        <v>รับบำนาญ</v>
      </c>
      <c r="E66" s="25" t="n">
        <f aca="false">(1+สมมติฐาน!$B$39)^(A66-1)</f>
        <v>3.09178859221323</v>
      </c>
      <c r="F66" s="26" t="n">
        <f aca="false">IF(D66="รับราชการ",สมมติฐาน!$C$13*(1+สมมติฐาน!$C$15)^(A66-1)*E66,0)</f>
        <v>0</v>
      </c>
      <c r="G66" s="26" t="n">
        <f aca="false">F66*12</f>
        <v>0</v>
      </c>
      <c r="H66" s="26" t="n">
        <f aca="false">IF(D66="รับราชการ",IF(A66&gt;=สมมติฐาน!$C$19,สมมติฐาน!$C$18,IF(A66&gt;=สมมติฐาน!$C$17,สมมติฐาน!$C$16,0))*12*E66,0)</f>
        <v>0</v>
      </c>
      <c r="I66" s="26" t="n">
        <f aca="false">G66*สมมติฐาน!$C$21</f>
        <v>0</v>
      </c>
      <c r="J66" s="26" t="n">
        <f aca="false">IF(AND(D66="รับราชการ",A66&lt;=สมมติฐาน!$C$23),สมมติฐาน!$C$22*12*E66,0)</f>
        <v>0</v>
      </c>
      <c r="K66" s="26" t="n">
        <f aca="false">IF(AND(D66="รับราชการ",สมมติฐาน!$C$26&gt;0,A66&gt;=สมมติฐาน!$C$29,A66&lt;สมมติฐาน!$C$29+สมมติฐาน!$C$30),สมมติฐาน!$C$28*สมมติฐาน!$C$26*E66,0)</f>
        <v>0</v>
      </c>
      <c r="L66" s="26" t="n">
        <f aca="false">G66*สมมติฐาน!$C$20</f>
        <v>0</v>
      </c>
      <c r="M66" s="25" t="n">
        <f aca="false">(1+สมมติฐาน!$B$39)^(A66-1)*(1+สมมติฐาน!$B$40)^(A66-1)</f>
        <v>9.55915669893985</v>
      </c>
      <c r="N66" s="23" t="n">
        <f aca="false">A66-สมมติฐาน!$C$31</f>
        <v>50</v>
      </c>
      <c r="O66" s="23" t="n">
        <f aca="false">C66+สมมติฐาน!$C$32</f>
        <v>110</v>
      </c>
      <c r="P66" s="26" t="n">
        <f aca="false">(1+สมมติฐาน!$C$25)*สมมติฐาน!$B$37*LOOKUP(C66,สมมติฐาน!$A$59:$A$64,สมมติฐาน!$B$59:$B$64)*สมมติฐาน!$C$34*M66</f>
        <v>1147098.80387278</v>
      </c>
      <c r="Q66" s="26" t="n">
        <f aca="false">IF(AND(สมมติฐาน!$C$26&gt;0,N66&gt;=0,N66&lt;=19),สมมติฐาน!$C$26*สมมติฐาน!$B$37*LOOKUP(MAX(N66,0),สมมติฐาน!$A$59:$A$64,สมมติฐาน!$B$59:$B$64)*สมมติฐาน!$C$34*M66,0)</f>
        <v>0</v>
      </c>
      <c r="R66" s="26" t="n">
        <f aca="false">IF(AND(สมมติฐาน!$C$27&gt;0,O66&lt;=สมมติฐาน!$C$33),สมมติฐาน!$C$27*สมมติฐาน!$B$37*LOOKUP(O66,สมมติฐาน!$A$59:$A$64,สมมติฐาน!$B$59:$B$64)*สมมติฐาน!$C$34*M66,0)</f>
        <v>0</v>
      </c>
      <c r="S66" s="26" t="n">
        <f aca="false">IF(D66="รับราชการ",0,$AD$6*12*(1+สมมติฐาน!$B$42)^(A66-35-1))</f>
        <v>965784.649601171</v>
      </c>
      <c r="T66" s="26" t="n">
        <f aca="false">IF(C66=สมมติฐาน!$C$8,$AD$7,0)+IF(C66=65,$AD$9,0)+IF(C66=70,$AD$11,0)+IF(A66=58,$AD$12+$AD$13,0)</f>
        <v>1633746.24063575</v>
      </c>
      <c r="U66" s="26" t="n">
        <f aca="false">G66+H66+I66+J66+K66+L66+P66+Q66+R66+S66+T66</f>
        <v>3746629.6941097</v>
      </c>
      <c r="V66" s="26" t="n">
        <f aca="false">U66/E66</f>
        <v>1211800.08993685</v>
      </c>
      <c r="W66" s="25" t="n">
        <f aca="false">1/(1+สมมติฐาน!$B$41)^(A66-1)</f>
        <v>0.323437379424497</v>
      </c>
      <c r="X66" s="26" t="n">
        <f aca="false">V66*W66</f>
        <v>391941.445475543</v>
      </c>
    </row>
    <row r="67" customFormat="false" ht="15" hidden="false" customHeight="true" outlineLevel="0" collapsed="false">
      <c r="A67" s="6" t="s">
        <v>206</v>
      </c>
      <c r="G67" s="27" t="n">
        <f aca="false">SUM(G9:G66)</f>
        <v>20564828.129212</v>
      </c>
      <c r="H67" s="27" t="n">
        <f aca="false">SUM(H9:H66)</f>
        <v>2471806.91749734</v>
      </c>
      <c r="I67" s="27" t="n">
        <f aca="false">SUM(I9:I66)</f>
        <v>1028241.4064606</v>
      </c>
      <c r="J67" s="27" t="n">
        <f aca="false">SUM(J9:J66)</f>
        <v>525586.607987417</v>
      </c>
      <c r="K67" s="27" t="n">
        <f aca="false">SUM(K9:K66)</f>
        <v>1229800.81703863</v>
      </c>
      <c r="L67" s="27" t="n">
        <f aca="false">SUM(L9:L66)</f>
        <v>616944.843876361</v>
      </c>
      <c r="P67" s="27" t="n">
        <f aca="false">SUM(P9:P66)</f>
        <v>14157313.5460924</v>
      </c>
      <c r="Q67" s="27" t="n">
        <f aca="false">SUM(Q9:Q66)</f>
        <v>473460.202300222</v>
      </c>
      <c r="R67" s="27" t="n">
        <f aca="false">SUM(R9:R66)</f>
        <v>4324541.10953297</v>
      </c>
      <c r="S67" s="27" t="n">
        <f aca="false">SUM(S9:S66)</f>
        <v>19953477.2229638</v>
      </c>
      <c r="T67" s="27" t="n">
        <f aca="false">SUM(T9:T66)</f>
        <v>2133746.24063575</v>
      </c>
      <c r="U67" s="27" t="n">
        <f aca="false">SUM(U9:U66)</f>
        <v>67479747.0435975</v>
      </c>
      <c r="V67" s="27" t="n">
        <f aca="false">SUM(V9:V66)</f>
        <v>35475234.5728851</v>
      </c>
      <c r="W67" s="27" t="n">
        <f aca="false">SUM(W9:W66)</f>
        <v>34.8281310287751</v>
      </c>
      <c r="X67" s="27" t="n">
        <f aca="false">SUM(X9:X66)</f>
        <v>20549377.9127293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19" min="19" style="1" width="14"/>
    <col collapsed="false" customWidth="true" hidden="false" outlineLevel="0" max="21" min="20" style="1" width="16"/>
    <col collapsed="false" customWidth="true" hidden="false" outlineLevel="0" max="22" min="22" style="1" width="14"/>
    <col collapsed="false" customWidth="true" hidden="false" outlineLevel="0" max="23" min="23" style="1" width="9"/>
    <col collapsed="false" customWidth="true" hidden="false" outlineLevel="0" max="24" min="24" style="1" width="14"/>
    <col collapsed="false" customWidth="true" hidden="false" outlineLevel="0" max="27" min="27" style="1" width="38"/>
    <col collapsed="false" customWidth="true" hidden="false" outlineLevel="0" max="30" min="30" style="1" width="14"/>
  </cols>
  <sheetData>
    <row r="1" customFormat="false" ht="15.75" hidden="false" customHeight="true" outlineLevel="0" collapsed="false">
      <c r="A1" s="2" t="s">
        <v>208</v>
      </c>
    </row>
    <row r="2" customFormat="false" ht="15" hidden="false" customHeight="true" outlineLevel="0" collapsed="false">
      <c r="A2" s="3" t="s">
        <v>170</v>
      </c>
      <c r="AA2" s="6" t="s">
        <v>171</v>
      </c>
    </row>
    <row r="3" customFormat="false" ht="15" hidden="false" customHeight="true" outlineLevel="0" collapsed="false">
      <c r="AA3" s="7" t="s">
        <v>172</v>
      </c>
      <c r="AD3" s="14" t="n">
        <f aca="false">AVERAGE(F40:F44)</f>
        <v>132840.465688488</v>
      </c>
    </row>
    <row r="4" customFormat="false" ht="15" hidden="false" customHeight="true" outlineLevel="0" collapsed="false">
      <c r="AA4" s="7" t="s">
        <v>173</v>
      </c>
      <c r="AD4" s="14" t="n">
        <f aca="false">MIN(AD3*สมมติฐาน!$D$10/สมมติฐาน!$B$44,AD3*สมมติฐาน!$B$43)</f>
        <v>92988.3259819419</v>
      </c>
    </row>
    <row r="5" customFormat="false" ht="15" hidden="false" customHeight="true" outlineLevel="0" collapsed="false">
      <c r="AA5" s="7" t="s">
        <v>174</v>
      </c>
      <c r="AD5" s="14" t="n">
        <f aca="false">MAX(0,สมมติฐาน!$B$45*(1+สมมติฐาน!$B$39)^(สมมติฐาน!$D$10-1)-AD4)</f>
        <v>0</v>
      </c>
    </row>
    <row r="6" customFormat="false" ht="15" hidden="false" customHeight="true" outlineLevel="0" collapsed="false">
      <c r="AA6" s="7" t="s">
        <v>175</v>
      </c>
      <c r="AD6" s="14" t="n">
        <f aca="false">AD4+AD5</f>
        <v>92988.3259819419</v>
      </c>
    </row>
    <row r="7" customFormat="false" ht="15" hidden="false" customHeight="true" outlineLevel="0" collapsed="false">
      <c r="AA7" s="7" t="s">
        <v>176</v>
      </c>
      <c r="AD7" s="14" t="n">
        <f aca="false">MIN(AD4*สมมติฐาน!$B$49,สมมติฐาน!$B$46)</f>
        <v>200000</v>
      </c>
    </row>
    <row r="8" customFormat="false" ht="43.5" hidden="false" customHeight="true" outlineLevel="0" collapsed="false">
      <c r="A8" s="8" t="s">
        <v>85</v>
      </c>
      <c r="B8" s="8" t="s">
        <v>177</v>
      </c>
      <c r="C8" s="8" t="s">
        <v>178</v>
      </c>
      <c r="D8" s="8" t="s">
        <v>179</v>
      </c>
      <c r="E8" s="8" t="s">
        <v>180</v>
      </c>
      <c r="F8" s="8" t="s">
        <v>181</v>
      </c>
      <c r="G8" s="8" t="s">
        <v>182</v>
      </c>
      <c r="H8" s="8" t="s">
        <v>183</v>
      </c>
      <c r="I8" s="8" t="s">
        <v>184</v>
      </c>
      <c r="J8" s="8" t="s">
        <v>185</v>
      </c>
      <c r="K8" s="8" t="s">
        <v>186</v>
      </c>
      <c r="L8" s="8" t="s">
        <v>187</v>
      </c>
      <c r="M8" s="8" t="s">
        <v>188</v>
      </c>
      <c r="N8" s="8" t="s">
        <v>189</v>
      </c>
      <c r="O8" s="8" t="s">
        <v>190</v>
      </c>
      <c r="P8" s="8" t="s">
        <v>191</v>
      </c>
      <c r="Q8" s="8" t="s">
        <v>192</v>
      </c>
      <c r="R8" s="8" t="s">
        <v>193</v>
      </c>
      <c r="S8" s="8" t="s">
        <v>194</v>
      </c>
      <c r="T8" s="8" t="s">
        <v>195</v>
      </c>
      <c r="U8" s="8" t="s">
        <v>196</v>
      </c>
      <c r="V8" s="8" t="s">
        <v>197</v>
      </c>
      <c r="W8" s="8" t="s">
        <v>198</v>
      </c>
      <c r="X8" s="8" t="s">
        <v>199</v>
      </c>
      <c r="AA8" s="7" t="s">
        <v>200</v>
      </c>
      <c r="AD8" s="14" t="n">
        <f aca="false">MIN(AD4*สมมติฐาน!$B$49,สมมติฐาน!$B$47)</f>
        <v>400000</v>
      </c>
    </row>
    <row r="9" customFormat="false" ht="15" hidden="false" customHeight="true" outlineLevel="0" collapsed="false">
      <c r="A9" s="20" t="n">
        <v>1</v>
      </c>
      <c r="B9" s="20" t="n">
        <f aca="false">สมมติฐาน!$B$38+A9-1</f>
        <v>2569</v>
      </c>
      <c r="C9" s="20" t="n">
        <f aca="false">สมมติฐาน!$D$7+A9-1</f>
        <v>24</v>
      </c>
      <c r="D9" s="21" t="str">
        <f aca="false">IF(C9&lt;สมมติฐาน!$D$8,"รับราชการ","รับบำนาญ")</f>
        <v>รับราชการ</v>
      </c>
      <c r="E9" s="22" t="n">
        <f aca="false">(1+สมมติฐาน!$B$39)^(A9-1)</f>
        <v>1</v>
      </c>
      <c r="F9" s="14" t="n">
        <f aca="false">IF(D9="รับราชการ",สมมติฐาน!$D$13*(1+สมมติฐาน!$D$15)^(A9-1)*E9,0)</f>
        <v>21180</v>
      </c>
      <c r="G9" s="14" t="n">
        <f aca="false">F9*12</f>
        <v>254160</v>
      </c>
      <c r="H9" s="14" t="n">
        <f aca="false">IF(D9="รับราชการ",IF(A9&gt;=สมมติฐาน!$D$19,สมมติฐาน!$D$18,IF(A9&gt;=สมมติฐาน!$D$17,สมมติฐาน!$D$16,0))*12*E9,0)</f>
        <v>0</v>
      </c>
      <c r="I9" s="14" t="n">
        <f aca="false">G9*สมมติฐาน!$D$21</f>
        <v>12708</v>
      </c>
      <c r="J9" s="14" t="n">
        <f aca="false">IF(AND(D9="รับราชการ",A9&lt;=สมมติฐาน!$D$23),สมมติฐาน!$D$22*12*E9,0)</f>
        <v>60000</v>
      </c>
      <c r="K9" s="14" t="n">
        <f aca="false">IF(AND(D9="รับราชการ",สมมติฐาน!$D$26&gt;0,A9&gt;=สมมติฐาน!$D$29,A9&lt;สมมติฐาน!$D$29+สมมติฐาน!$D$30),สมมติฐาน!$D$28*สมมติฐาน!$D$26*E9,0)</f>
        <v>0</v>
      </c>
      <c r="L9" s="14" t="n">
        <f aca="false">G9*สมมติฐาน!$D$20</f>
        <v>10166.4</v>
      </c>
      <c r="M9" s="22" t="n">
        <f aca="false">(1+สมมติฐาน!$B$39)^(A9-1)*(1+สมมติฐาน!$B$40)^(A9-1)</f>
        <v>1</v>
      </c>
      <c r="N9" s="20" t="n">
        <f aca="false">A9-สมมติฐาน!$D$31</f>
        <v>-7</v>
      </c>
      <c r="O9" s="20" t="n">
        <f aca="false">C9+สมมติฐาน!$D$32</f>
        <v>52</v>
      </c>
      <c r="P9" s="14" t="n">
        <f aca="false">(1+สมมติฐาน!$D$25)*สมมติฐาน!$B$37*LOOKUP(C9,สมมติฐาน!$A$59:$A$64,สมมติฐาน!$B$59:$B$64)*สมมติฐาน!$D$34*M9</f>
        <v>16000</v>
      </c>
      <c r="Q9" s="14" t="n">
        <f aca="false">IF(AND(สมมติฐาน!$D$26&gt;0,N9&gt;=0,N9&lt;=19),สมมติฐาน!$D$26*สมมติฐาน!$B$37*LOOKUP(MAX(N9,0),สมมติฐาน!$A$59:$A$64,สมมติฐาน!$B$59:$B$64)*สมมติฐาน!$D$34*M9,0)</f>
        <v>0</v>
      </c>
      <c r="R9" s="14" t="n">
        <f aca="false">IF(AND(สมมติฐาน!$D$27&gt;0,O9&lt;=สมมติฐาน!$D$33),สมมติฐาน!$D$27*สมมติฐาน!$B$37*LOOKUP(O9,สมมติฐาน!$A$59:$A$64,สมมติฐาน!$B$59:$B$64)*สมมติฐาน!$D$34*M9,0)</f>
        <v>28000</v>
      </c>
      <c r="S9" s="14" t="n">
        <f aca="false">IF(D9="รับราชการ",0,$AD$6*12*(1+สมมติฐาน!$B$42)^(A9-36-1))</f>
        <v>0</v>
      </c>
      <c r="T9" s="14" t="n">
        <f aca="false">IF(C9=สมมติฐาน!$D$8,$AD$7,0)+IF(C9=65,$AD$9,0)+IF(C9=70,$AD$11,0)+IF(A9=62,$AD$12+$AD$13,0)</f>
        <v>0</v>
      </c>
      <c r="U9" s="14" t="n">
        <f aca="false">G9+H9+I9+J9+K9+L9+P9+Q9+R9+S9+T9</f>
        <v>381034.4</v>
      </c>
      <c r="V9" s="14" t="n">
        <f aca="false">U9/E9</f>
        <v>381034.4</v>
      </c>
      <c r="W9" s="22" t="n">
        <f aca="false">1/(1+สมมติฐาน!$B$41)^(A9-1)</f>
        <v>1</v>
      </c>
      <c r="X9" s="14" t="n">
        <f aca="false">V9*W9</f>
        <v>381034.4</v>
      </c>
      <c r="AA9" s="7" t="s">
        <v>201</v>
      </c>
      <c r="AD9" s="14" t="n">
        <f aca="false">AD8-AD7</f>
        <v>200000</v>
      </c>
    </row>
    <row r="10" customFormat="false" ht="15" hidden="false" customHeight="true" outlineLevel="0" collapsed="false">
      <c r="A10" s="23" t="n">
        <v>2</v>
      </c>
      <c r="B10" s="23" t="n">
        <f aca="false">สมมติฐาน!$B$38+A10-1</f>
        <v>2570</v>
      </c>
      <c r="C10" s="23" t="n">
        <f aca="false">สมมติฐาน!$D$7+A10-1</f>
        <v>25</v>
      </c>
      <c r="D10" s="24" t="str">
        <f aca="false">IF(C10&lt;สมมติฐาน!$D$8,"รับราชการ","รับบำนาญ")</f>
        <v>รับราชการ</v>
      </c>
      <c r="E10" s="25" t="n">
        <f aca="false">(1+สมมติฐาน!$B$39)^(A10-1)</f>
        <v>1.02</v>
      </c>
      <c r="F10" s="26" t="n">
        <f aca="false">IF(D10="รับราชการ",สมมติฐาน!$D$13*(1+สมมติฐาน!$D$15)^(A10-1)*E10,0)</f>
        <v>22389.7451028721</v>
      </c>
      <c r="G10" s="26" t="n">
        <f aca="false">F10*12</f>
        <v>268676.941234466</v>
      </c>
      <c r="H10" s="26" t="n">
        <f aca="false">IF(D10="รับราชการ",IF(A10&gt;=สมมติฐาน!$D$19,สมมติฐาน!$D$18,IF(A10&gt;=สมมติฐาน!$D$17,สมมติฐาน!$D$16,0))*12*E10,0)</f>
        <v>0</v>
      </c>
      <c r="I10" s="26" t="n">
        <f aca="false">G10*สมมติฐาน!$D$21</f>
        <v>13433.8470617233</v>
      </c>
      <c r="J10" s="26" t="n">
        <f aca="false">IF(AND(D10="รับราชการ",A10&lt;=สมมติฐาน!$D$23),สมมติฐาน!$D$22*12*E10,0)</f>
        <v>61200</v>
      </c>
      <c r="K10" s="26" t="n">
        <f aca="false">IF(AND(D10="รับราชการ",สมมติฐาน!$D$26&gt;0,A10&gt;=สมมติฐาน!$D$29,A10&lt;สมมติฐาน!$D$29+สมมติฐาน!$D$30),สมมติฐาน!$D$28*สมมติฐาน!$D$26*E10,0)</f>
        <v>0</v>
      </c>
      <c r="L10" s="26" t="n">
        <f aca="false">G10*สมมติฐาน!$D$20</f>
        <v>10747.0776493786</v>
      </c>
      <c r="M10" s="25" t="n">
        <f aca="false">(1+สมมติฐาน!$B$39)^(A10-1)*(1+สมมติฐาน!$B$40)^(A10-1)</f>
        <v>1.0404</v>
      </c>
      <c r="N10" s="23" t="n">
        <f aca="false">A10-สมมติฐาน!$D$31</f>
        <v>-6</v>
      </c>
      <c r="O10" s="23" t="n">
        <f aca="false">C10+สมมติฐาน!$D$32</f>
        <v>53</v>
      </c>
      <c r="P10" s="26" t="n">
        <f aca="false">(1+สมมติฐาน!$D$25)*สมมติฐาน!$B$37*LOOKUP(C10,สมมติฐาน!$A$59:$A$64,สมมติฐาน!$B$59:$B$64)*สมมติฐาน!$D$34*M10</f>
        <v>16646.4</v>
      </c>
      <c r="Q10" s="26" t="n">
        <f aca="false">IF(AND(สมมติฐาน!$D$26&gt;0,N10&gt;=0,N10&lt;=19),สมมติฐาน!$D$26*สมมติฐาน!$B$37*LOOKUP(MAX(N10,0),สมมติฐาน!$A$59:$A$64,สมมติฐาน!$B$59:$B$64)*สมมติฐาน!$D$34*M10,0)</f>
        <v>0</v>
      </c>
      <c r="R10" s="26" t="n">
        <f aca="false">IF(AND(สมมติฐาน!$D$27&gt;0,O10&lt;=สมมติฐาน!$D$33),สมมติฐาน!$D$27*สมมติฐาน!$B$37*LOOKUP(O10,สมมติฐาน!$A$59:$A$64,สมมติฐาน!$B$59:$B$64)*สมมติฐาน!$D$34*M10,0)</f>
        <v>29131.2</v>
      </c>
      <c r="S10" s="26" t="n">
        <f aca="false">IF(D10="รับราชการ",0,$AD$6*12*(1+สมมติฐาน!$B$42)^(A10-36-1))</f>
        <v>0</v>
      </c>
      <c r="T10" s="26" t="n">
        <f aca="false">IF(C10=สมมติฐาน!$D$8,$AD$7,0)+IF(C10=65,$AD$9,0)+IF(C10=70,$AD$11,0)+IF(A10=62,$AD$12+$AD$13,0)</f>
        <v>0</v>
      </c>
      <c r="U10" s="26" t="n">
        <f aca="false">G10+H10+I10+J10+K10+L10+P10+Q10+R10+S10+T10</f>
        <v>399835.465945568</v>
      </c>
      <c r="V10" s="26" t="n">
        <f aca="false">U10/E10</f>
        <v>391995.554848596</v>
      </c>
      <c r="W10" s="25" t="n">
        <f aca="false">1/(1+สมมติฐาน!$B$41)^(A10-1)</f>
        <v>0.980392156862745</v>
      </c>
      <c r="X10" s="26" t="n">
        <f aca="false">V10*W10</f>
        <v>384309.367498623</v>
      </c>
      <c r="AA10" s="7" t="s">
        <v>202</v>
      </c>
      <c r="AD10" s="14" t="n">
        <f aca="false">MIN(AD4*สมมติฐาน!$B$49,สมมติฐาน!$B$48)</f>
        <v>500000</v>
      </c>
    </row>
    <row r="11" customFormat="false" ht="15" hidden="false" customHeight="true" outlineLevel="0" collapsed="false">
      <c r="A11" s="20" t="n">
        <v>3</v>
      </c>
      <c r="B11" s="20" t="n">
        <f aca="false">สมมติฐาน!$B$38+A11-1</f>
        <v>2571</v>
      </c>
      <c r="C11" s="20" t="n">
        <f aca="false">สมมติฐาน!$D$7+A11-1</f>
        <v>26</v>
      </c>
      <c r="D11" s="21" t="str">
        <f aca="false">IF(C11&lt;สมมติฐาน!$D$8,"รับราชการ","รับบำนาญ")</f>
        <v>รับราชการ</v>
      </c>
      <c r="E11" s="22" t="n">
        <f aca="false">(1+สมมติฐาน!$B$39)^(A11-1)</f>
        <v>1.0404</v>
      </c>
      <c r="F11" s="14" t="n">
        <f aca="false">IF(D11="รับราชการ",สมมติฐาน!$D$13*(1+สมมติฐาน!$D$15)^(A11-1)*E11,0)</f>
        <v>23668.5876190551</v>
      </c>
      <c r="G11" s="14" t="n">
        <f aca="false">F11*12</f>
        <v>284023.051428661</v>
      </c>
      <c r="H11" s="14" t="n">
        <f aca="false">IF(D11="รับราชการ",IF(A11&gt;=สมมติฐาน!$D$19,สมมติฐาน!$D$18,IF(A11&gt;=สมมติฐาน!$D$17,สมมติฐาน!$D$16,0))*12*E11,0)</f>
        <v>0</v>
      </c>
      <c r="I11" s="14" t="n">
        <f aca="false">G11*สมมติฐาน!$D$21</f>
        <v>14201.1525714331</v>
      </c>
      <c r="J11" s="14" t="n">
        <f aca="false">IF(AND(D11="รับราชการ",A11&lt;=สมมติฐาน!$D$23),สมมติฐาน!$D$22*12*E11,0)</f>
        <v>62424</v>
      </c>
      <c r="K11" s="14" t="n">
        <f aca="false">IF(AND(D11="รับราชการ",สมมติฐาน!$D$26&gt;0,A11&gt;=สมมติฐาน!$D$29,A11&lt;สมมติฐาน!$D$29+สมมติฐาน!$D$30),สมมติฐาน!$D$28*สมมติฐาน!$D$26*E11,0)</f>
        <v>0</v>
      </c>
      <c r="L11" s="14" t="n">
        <f aca="false">G11*สมมติฐาน!$D$20</f>
        <v>11360.9220571465</v>
      </c>
      <c r="M11" s="22" t="n">
        <f aca="false">(1+สมมติฐาน!$B$39)^(A11-1)*(1+สมมติฐาน!$B$40)^(A11-1)</f>
        <v>1.08243216</v>
      </c>
      <c r="N11" s="20" t="n">
        <f aca="false">A11-สมมติฐาน!$D$31</f>
        <v>-5</v>
      </c>
      <c r="O11" s="20" t="n">
        <f aca="false">C11+สมมติฐาน!$D$32</f>
        <v>54</v>
      </c>
      <c r="P11" s="14" t="n">
        <f aca="false">(1+สมมติฐาน!$D$25)*สมมติฐาน!$B$37*LOOKUP(C11,สมมติฐาน!$A$59:$A$64,สมมติฐาน!$B$59:$B$64)*สมมติฐาน!$D$34*M11</f>
        <v>17318.91456</v>
      </c>
      <c r="Q11" s="14" t="n">
        <f aca="false">IF(AND(สมมติฐาน!$D$26&gt;0,N11&gt;=0,N11&lt;=19),สมมติฐาน!$D$26*สมมติฐาน!$B$37*LOOKUP(MAX(N11,0),สมมติฐาน!$A$59:$A$64,สมมติฐาน!$B$59:$B$64)*สมมติฐาน!$D$34*M11,0)</f>
        <v>0</v>
      </c>
      <c r="R11" s="14" t="n">
        <f aca="false">IF(AND(สมมติฐาน!$D$27&gt;0,O11&lt;=สมมติฐาน!$D$33),สมมติฐาน!$D$27*สมมติฐาน!$B$37*LOOKUP(O11,สมมติฐาน!$A$59:$A$64,สมมติฐาน!$B$59:$B$64)*สมมติฐาน!$D$34*M11,0)</f>
        <v>30308.10048</v>
      </c>
      <c r="S11" s="14" t="n">
        <f aca="false">IF(D11="รับราชการ",0,$AD$6*12*(1+สมมติฐาน!$B$42)^(A11-36-1))</f>
        <v>0</v>
      </c>
      <c r="T11" s="14" t="n">
        <f aca="false">IF(C11=สมมติฐาน!$D$8,$AD$7,0)+IF(C11=65,$AD$9,0)+IF(C11=70,$AD$11,0)+IF(A11=62,$AD$12+$AD$13,0)</f>
        <v>0</v>
      </c>
      <c r="U11" s="14" t="n">
        <f aca="false">G11+H11+I11+J11+K11+L11+P11+Q11+R11+S11+T11</f>
        <v>419636.141097241</v>
      </c>
      <c r="V11" s="14" t="n">
        <f aca="false">U11/E11</f>
        <v>403341.158301846</v>
      </c>
      <c r="W11" s="22" t="n">
        <f aca="false">1/(1+สมมติฐาน!$B$41)^(A11-1)</f>
        <v>0.961168781237985</v>
      </c>
      <c r="X11" s="14" t="n">
        <f aca="false">V11*W11</f>
        <v>387678.929548103</v>
      </c>
      <c r="AA11" s="7" t="s">
        <v>203</v>
      </c>
      <c r="AD11" s="14" t="n">
        <f aca="false">AD10-AD8</f>
        <v>100000</v>
      </c>
    </row>
    <row r="12" customFormat="false" ht="15" hidden="false" customHeight="true" outlineLevel="0" collapsed="false">
      <c r="A12" s="23" t="n">
        <v>4</v>
      </c>
      <c r="B12" s="23" t="n">
        <f aca="false">สมมติฐาน!$B$38+A12-1</f>
        <v>2572</v>
      </c>
      <c r="C12" s="23" t="n">
        <f aca="false">สมมติฐาน!$D$7+A12-1</f>
        <v>27</v>
      </c>
      <c r="D12" s="24" t="str">
        <f aca="false">IF(C12&lt;สมมติฐาน!$D$8,"รับราชการ","รับบำนาญ")</f>
        <v>รับราชการ</v>
      </c>
      <c r="E12" s="25" t="n">
        <f aca="false">(1+สมมติฐาน!$B$39)^(A12-1)</f>
        <v>1.061208</v>
      </c>
      <c r="F12" s="26" t="n">
        <f aca="false">IF(D12="รับราชการ",สมมติฐาน!$D$13*(1+สมมติฐาน!$D$15)^(A12-1)*E12,0)</f>
        <v>25020.4742084816</v>
      </c>
      <c r="G12" s="26" t="n">
        <f aca="false">F12*12</f>
        <v>300245.690501779</v>
      </c>
      <c r="H12" s="26" t="n">
        <f aca="false">IF(D12="รับราชการ",IF(A12&gt;=สมมติฐาน!$D$19,สมมติฐาน!$D$18,IF(A12&gt;=สมมติฐาน!$D$17,สมมติฐาน!$D$16,0))*12*E12,0)</f>
        <v>0</v>
      </c>
      <c r="I12" s="26" t="n">
        <f aca="false">G12*สมมติฐาน!$D$21</f>
        <v>15012.2845250889</v>
      </c>
      <c r="J12" s="26" t="n">
        <f aca="false">IF(AND(D12="รับราชการ",A12&lt;=สมมติฐาน!$D$23),สมมติฐาน!$D$22*12*E12,0)</f>
        <v>63672.48</v>
      </c>
      <c r="K12" s="26" t="n">
        <f aca="false">IF(AND(D12="รับราชการ",สมมติฐาน!$D$26&gt;0,A12&gt;=สมมติฐาน!$D$29,A12&lt;สมมติฐาน!$D$29+สมมติฐาน!$D$30),สมมติฐาน!$D$28*สมมติฐาน!$D$26*E12,0)</f>
        <v>0</v>
      </c>
      <c r="L12" s="26" t="n">
        <f aca="false">G12*สมมติฐาน!$D$20</f>
        <v>12009.8276200712</v>
      </c>
      <c r="M12" s="25" t="n">
        <f aca="false">(1+สมมติฐาน!$B$39)^(A12-1)*(1+สมมติฐาน!$B$40)^(A12-1)</f>
        <v>1.126162419264</v>
      </c>
      <c r="N12" s="23" t="n">
        <f aca="false">A12-สมมติฐาน!$D$31</f>
        <v>-4</v>
      </c>
      <c r="O12" s="23" t="n">
        <f aca="false">C12+สมมติฐาน!$D$32</f>
        <v>55</v>
      </c>
      <c r="P12" s="26" t="n">
        <f aca="false">(1+สมมติฐาน!$D$25)*สมมติฐาน!$B$37*LOOKUP(C12,สมมติฐาน!$A$59:$A$64,สมมติฐาน!$B$59:$B$64)*สมมติฐาน!$D$34*M12</f>
        <v>18018.598708224</v>
      </c>
      <c r="Q12" s="26" t="n">
        <f aca="false">IF(AND(สมมติฐาน!$D$26&gt;0,N12&gt;=0,N12&lt;=19),สมมติฐาน!$D$26*สมมติฐาน!$B$37*LOOKUP(MAX(N12,0),สมมติฐาน!$A$59:$A$64,สมมติฐาน!$B$59:$B$64)*สมมติฐาน!$D$34*M12,0)</f>
        <v>0</v>
      </c>
      <c r="R12" s="26" t="n">
        <f aca="false">IF(AND(สมมติฐาน!$D$27&gt;0,O12&lt;=สมมติฐาน!$D$33),สมมติฐาน!$D$27*สมมติฐาน!$B$37*LOOKUP(O12,สมมติฐาน!$A$59:$A$64,สมมติฐาน!$B$59:$B$64)*สมมติฐาน!$D$34*M12,0)</f>
        <v>31532.547739392</v>
      </c>
      <c r="S12" s="26" t="n">
        <f aca="false">IF(D12="รับราชการ",0,$AD$6*12*(1+สมมติฐาน!$B$42)^(A12-36-1))</f>
        <v>0</v>
      </c>
      <c r="T12" s="26" t="n">
        <f aca="false">IF(C12=สมมติฐาน!$D$8,$AD$7,0)+IF(C12=65,$AD$9,0)+IF(C12=70,$AD$11,0)+IF(A12=62,$AD$12+$AD$13,0)</f>
        <v>0</v>
      </c>
      <c r="U12" s="26" t="n">
        <f aca="false">G12+H12+I12+J12+K12+L12+P12+Q12+R12+S12+T12</f>
        <v>440491.429094555</v>
      </c>
      <c r="V12" s="26" t="n">
        <f aca="false">U12/E12</f>
        <v>415084.911812345</v>
      </c>
      <c r="W12" s="25" t="n">
        <f aca="false">1/(1+สมมติฐาน!$B$41)^(A12-1)</f>
        <v>0.942322334547044</v>
      </c>
      <c r="X12" s="26" t="n">
        <f aca="false">V12*W12</f>
        <v>391143.783134263</v>
      </c>
      <c r="AA12" s="7" t="s">
        <v>204</v>
      </c>
      <c r="AD12" s="14" t="n">
        <f aca="false">MAX(0,AD6*สมมติฐาน!$B$50-AD10)</f>
        <v>2289649.77945826</v>
      </c>
    </row>
    <row r="13" customFormat="false" ht="15" hidden="false" customHeight="true" outlineLevel="0" collapsed="false">
      <c r="A13" s="20" t="n">
        <v>5</v>
      </c>
      <c r="B13" s="20" t="n">
        <f aca="false">สมมติฐาน!$B$38+A13-1</f>
        <v>2573</v>
      </c>
      <c r="C13" s="20" t="n">
        <f aca="false">สมมติฐาน!$D$7+A13-1</f>
        <v>28</v>
      </c>
      <c r="D13" s="21" t="str">
        <f aca="false">IF(C13&lt;สมมติฐาน!$D$8,"รับราชการ","รับบำนาญ")</f>
        <v>รับราชการ</v>
      </c>
      <c r="E13" s="22" t="n">
        <f aca="false">(1+สมมติฐาน!$B$39)^(A13-1)</f>
        <v>1.08243216</v>
      </c>
      <c r="F13" s="14" t="n">
        <f aca="false">IF(D13="รับราชการ",สมมติฐาน!$D$13*(1+สมมติฐาน!$D$15)^(A13-1)*E13,0)</f>
        <v>26449.5769537719</v>
      </c>
      <c r="G13" s="14" t="n">
        <f aca="false">F13*12</f>
        <v>317394.923445263</v>
      </c>
      <c r="H13" s="14" t="n">
        <f aca="false">IF(D13="รับราชการ",IF(A13&gt;=สมมติฐาน!$D$19,สมมติฐาน!$D$18,IF(A13&gt;=สมมติฐาน!$D$17,สมมติฐาน!$D$16,0))*12*E13,0)</f>
        <v>0</v>
      </c>
      <c r="I13" s="14" t="n">
        <f aca="false">G13*สมมติฐาน!$D$21</f>
        <v>15869.7461722631</v>
      </c>
      <c r="J13" s="14" t="n">
        <f aca="false">IF(AND(D13="รับราชการ",A13&lt;=สมมติฐาน!$D$23),สมมติฐาน!$D$22*12*E13,0)</f>
        <v>64945.9296</v>
      </c>
      <c r="K13" s="14" t="n">
        <f aca="false">IF(AND(D13="รับราชการ",สมมติฐาน!$D$26&gt;0,A13&gt;=สมมติฐาน!$D$29,A13&lt;สมมติฐาน!$D$29+สมมติฐาน!$D$30),สมมติฐาน!$D$28*สมมติฐาน!$D$26*E13,0)</f>
        <v>0</v>
      </c>
      <c r="L13" s="14" t="n">
        <f aca="false">G13*สมมติฐาน!$D$20</f>
        <v>12695.7969378105</v>
      </c>
      <c r="M13" s="22" t="n">
        <f aca="false">(1+สมมติฐาน!$B$39)^(A13-1)*(1+สมมติฐาน!$B$40)^(A13-1)</f>
        <v>1.17165938100227</v>
      </c>
      <c r="N13" s="20" t="n">
        <f aca="false">A13-สมมติฐาน!$D$31</f>
        <v>-3</v>
      </c>
      <c r="O13" s="20" t="n">
        <f aca="false">C13+สมมติฐาน!$D$32</f>
        <v>56</v>
      </c>
      <c r="P13" s="14" t="n">
        <f aca="false">(1+สมมติฐาน!$D$25)*สมมติฐาน!$B$37*LOOKUP(C13,สมมติฐาน!$A$59:$A$64,สมมติฐาน!$B$59:$B$64)*สมมติฐาน!$D$34*M13</f>
        <v>18746.5500960362</v>
      </c>
      <c r="Q13" s="14" t="n">
        <f aca="false">IF(AND(สมมติฐาน!$D$26&gt;0,N13&gt;=0,N13&lt;=19),สมมติฐาน!$D$26*สมมติฐาน!$B$37*LOOKUP(MAX(N13,0),สมมติฐาน!$A$59:$A$64,สมมติฐาน!$B$59:$B$64)*สมมติฐาน!$D$34*M13,0)</f>
        <v>0</v>
      </c>
      <c r="R13" s="14" t="n">
        <f aca="false">IF(AND(สมมติฐาน!$D$27&gt;0,O13&lt;=สมมติฐาน!$D$33),สมมติฐาน!$D$27*สมมติฐาน!$B$37*LOOKUP(O13,สมมติฐาน!$A$59:$A$64,สมมติฐาน!$B$59:$B$64)*สมมติฐาน!$D$34*M13,0)</f>
        <v>32806.4626680634</v>
      </c>
      <c r="S13" s="14" t="n">
        <f aca="false">IF(D13="รับราชการ",0,$AD$6*12*(1+สมมติฐาน!$B$42)^(A13-36-1))</f>
        <v>0</v>
      </c>
      <c r="T13" s="14" t="n">
        <f aca="false">IF(C13=สมมติฐาน!$D$8,$AD$7,0)+IF(C13=65,$AD$9,0)+IF(C13=70,$AD$11,0)+IF(A13=62,$AD$12+$AD$13,0)</f>
        <v>0</v>
      </c>
      <c r="U13" s="14" t="n">
        <f aca="false">G13+H13+I13+J13+K13+L13+P13+Q13+R13+S13+T13</f>
        <v>462459.408919436</v>
      </c>
      <c r="V13" s="14" t="n">
        <f aca="false">U13/E13</f>
        <v>427241.009653147</v>
      </c>
      <c r="W13" s="22" t="n">
        <f aca="false">1/(1+สมมติฐาน!$B$41)^(A13-1)</f>
        <v>0.923845426026514</v>
      </c>
      <c r="X13" s="14" t="n">
        <f aca="false">V13*W13</f>
        <v>394704.652579009</v>
      </c>
      <c r="AA13" s="7" t="s">
        <v>205</v>
      </c>
      <c r="AD13" s="14" t="n">
        <f aca="false">AD6*สมมติฐาน!$B$51</f>
        <v>278964.977945826</v>
      </c>
    </row>
    <row r="14" customFormat="false" ht="15" hidden="false" customHeight="true" outlineLevel="0" collapsed="false">
      <c r="A14" s="23" t="n">
        <v>6</v>
      </c>
      <c r="B14" s="23" t="n">
        <f aca="false">สมมติฐาน!$B$38+A14-1</f>
        <v>2574</v>
      </c>
      <c r="C14" s="23" t="n">
        <f aca="false">สมมติฐาน!$D$7+A14-1</f>
        <v>29</v>
      </c>
      <c r="D14" s="24" t="str">
        <f aca="false">IF(C14&lt;สมมติฐาน!$D$8,"รับราชการ","รับบำนาญ")</f>
        <v>รับราชการ</v>
      </c>
      <c r="E14" s="25" t="n">
        <f aca="false">(1+สมมติฐาน!$B$39)^(A14-1)</f>
        <v>1.1040808032</v>
      </c>
      <c r="F14" s="26" t="n">
        <f aca="false">IF(D14="รับราชการ",สมมติฐาน!$D$13*(1+สมมติฐาน!$D$15)^(A14-1)*E14,0)</f>
        <v>27960.3062357769</v>
      </c>
      <c r="G14" s="26" t="n">
        <f aca="false">F14*12</f>
        <v>335523.674829323</v>
      </c>
      <c r="H14" s="26" t="n">
        <f aca="false">IF(D14="รับราชการ",IF(A14&gt;=สมมติฐาน!$D$19,สมมติฐาน!$D$18,IF(A14&gt;=สมมติฐาน!$D$17,สมมติฐาน!$D$16,0))*12*E14,0)</f>
        <v>0</v>
      </c>
      <c r="I14" s="26" t="n">
        <f aca="false">G14*สมมติฐาน!$D$21</f>
        <v>16776.1837414661</v>
      </c>
      <c r="J14" s="26" t="n">
        <f aca="false">IF(AND(D14="รับราชการ",A14&lt;=สมมติฐาน!$D$23),สมมติฐาน!$D$22*12*E14,0)</f>
        <v>66244.848192</v>
      </c>
      <c r="K14" s="26" t="n">
        <f aca="false">IF(AND(D14="รับราชการ",สมมติฐาน!$D$26&gt;0,A14&gt;=สมมติฐาน!$D$29,A14&lt;สมมติฐาน!$D$29+สมมติฐาน!$D$30),สมมติฐาน!$D$28*สมมติฐาน!$D$26*E14,0)</f>
        <v>0</v>
      </c>
      <c r="L14" s="26" t="n">
        <f aca="false">G14*สมมติฐาน!$D$20</f>
        <v>13420.9469931729</v>
      </c>
      <c r="M14" s="25" t="n">
        <f aca="false">(1+สมมติฐาน!$B$39)^(A14-1)*(1+สมมติฐาน!$B$40)^(A14-1)</f>
        <v>1.21899441999476</v>
      </c>
      <c r="N14" s="23" t="n">
        <f aca="false">A14-สมมติฐาน!$D$31</f>
        <v>-2</v>
      </c>
      <c r="O14" s="23" t="n">
        <f aca="false">C14+สมมติฐาน!$D$32</f>
        <v>57</v>
      </c>
      <c r="P14" s="26" t="n">
        <f aca="false">(1+สมมติฐาน!$D$25)*สมมติฐาน!$B$37*LOOKUP(C14,สมมติฐาน!$A$59:$A$64,สมมติฐาน!$B$59:$B$64)*สมมติฐาน!$D$34*M14</f>
        <v>19503.9107199161</v>
      </c>
      <c r="Q14" s="26" t="n">
        <f aca="false">IF(AND(สมมติฐาน!$D$26&gt;0,N14&gt;=0,N14&lt;=19),สมมติฐาน!$D$26*สมมติฐาน!$B$37*LOOKUP(MAX(N14,0),สมมติฐาน!$A$59:$A$64,สมมติฐาน!$B$59:$B$64)*สมมติฐาน!$D$34*M14,0)</f>
        <v>0</v>
      </c>
      <c r="R14" s="26" t="n">
        <f aca="false">IF(AND(สมมติฐาน!$D$27&gt;0,O14&lt;=สมมติฐาน!$D$33),สมมติฐาน!$D$27*สมมติฐาน!$B$37*LOOKUP(O14,สมมติฐาน!$A$59:$A$64,สมมติฐาน!$B$59:$B$64)*สมมติฐาน!$D$34*M14,0)</f>
        <v>34131.8437598532</v>
      </c>
      <c r="S14" s="26" t="n">
        <f aca="false">IF(D14="รับราชการ",0,$AD$6*12*(1+สมมติฐาน!$B$42)^(A14-36-1))</f>
        <v>0</v>
      </c>
      <c r="T14" s="26" t="n">
        <f aca="false">IF(C14=สมมติฐาน!$D$8,$AD$7,0)+IF(C14=65,$AD$9,0)+IF(C14=70,$AD$11,0)+IF(A14=62,$AD$12+$AD$13,0)</f>
        <v>0</v>
      </c>
      <c r="U14" s="26" t="n">
        <f aca="false">G14+H14+I14+J14+K14+L14+P14+Q14+R14+S14+T14</f>
        <v>485601.408235731</v>
      </c>
      <c r="V14" s="26" t="n">
        <f aca="false">U14/E14</f>
        <v>439824.156735896</v>
      </c>
      <c r="W14" s="25" t="n">
        <f aca="false">1/(1+สมมติฐาน!$B$41)^(A14-1)</f>
        <v>0.905730809829916</v>
      </c>
      <c r="X14" s="26" t="n">
        <f aca="false">V14*W14</f>
        <v>398362.289663163</v>
      </c>
    </row>
    <row r="15" customFormat="false" ht="15" hidden="false" customHeight="true" outlineLevel="0" collapsed="false">
      <c r="A15" s="20" t="n">
        <v>7</v>
      </c>
      <c r="B15" s="20" t="n">
        <f aca="false">สมมติฐาน!$B$38+A15-1</f>
        <v>2575</v>
      </c>
      <c r="C15" s="20" t="n">
        <f aca="false">สมมติฐาน!$D$7+A15-1</f>
        <v>30</v>
      </c>
      <c r="D15" s="21" t="str">
        <f aca="false">IF(C15&lt;สมมติฐาน!$D$8,"รับราชการ","รับบำนาญ")</f>
        <v>รับราชการ</v>
      </c>
      <c r="E15" s="22" t="n">
        <f aca="false">(1+สมมติฐาน!$B$39)^(A15-1)</f>
        <v>1.126162419264</v>
      </c>
      <c r="F15" s="14" t="n">
        <f aca="false">IF(D15="รับราชการ",สมมติฐาน!$D$13*(1+สมมติฐาน!$D$15)^(A15-1)*E15,0)</f>
        <v>29557.3243445369</v>
      </c>
      <c r="G15" s="14" t="n">
        <f aca="false">F15*12</f>
        <v>354687.892134443</v>
      </c>
      <c r="H15" s="14" t="n">
        <f aca="false">IF(D15="รับราชการ",IF(A15&gt;=สมมติฐาน!$D$19,สมมติฐาน!$D$18,IF(A15&gt;=สมมติฐาน!$D$17,สมมติฐาน!$D$16,0))*12*E15,0)</f>
        <v>0</v>
      </c>
      <c r="I15" s="14" t="n">
        <f aca="false">G15*สมมติฐาน!$D$21</f>
        <v>17734.3946067221</v>
      </c>
      <c r="J15" s="14" t="n">
        <f aca="false">IF(AND(D15="รับราชการ",A15&lt;=สมมติฐาน!$D$23),สมมติฐาน!$D$22*12*E15,0)</f>
        <v>67569.74515584</v>
      </c>
      <c r="K15" s="14" t="n">
        <f aca="false">IF(AND(D15="รับราชการ",สมมติฐาน!$D$26&gt;0,A15&gt;=สมมติฐาน!$D$29,A15&lt;สมมติฐาน!$D$29+สมมติฐาน!$D$30),สมมติฐาน!$D$28*สมมติฐาน!$D$26*E15,0)</f>
        <v>0</v>
      </c>
      <c r="L15" s="14" t="n">
        <f aca="false">G15*สมมติฐาน!$D$20</f>
        <v>14187.5156853777</v>
      </c>
      <c r="M15" s="22" t="n">
        <f aca="false">(1+สมมติฐาน!$B$39)^(A15-1)*(1+สมมติฐาน!$B$40)^(A15-1)</f>
        <v>1.26824179456255</v>
      </c>
      <c r="N15" s="20" t="n">
        <f aca="false">A15-สมมติฐาน!$D$31</f>
        <v>-1</v>
      </c>
      <c r="O15" s="20" t="n">
        <f aca="false">C15+สมมติฐาน!$D$32</f>
        <v>58</v>
      </c>
      <c r="P15" s="14" t="n">
        <f aca="false">(1+สมมติฐาน!$D$25)*สมมติฐาน!$B$37*LOOKUP(C15,สมมติฐาน!$A$59:$A$64,สมมติฐาน!$B$59:$B$64)*สมมติฐาน!$D$34*M15</f>
        <v>20291.8687130007</v>
      </c>
      <c r="Q15" s="14" t="n">
        <f aca="false">IF(AND(สมมติฐาน!$D$26&gt;0,N15&gt;=0,N15&lt;=19),สมมติฐาน!$D$26*สมมติฐาน!$B$37*LOOKUP(MAX(N15,0),สมมติฐาน!$A$59:$A$64,สมมติฐาน!$B$59:$B$64)*สมมติฐาน!$D$34*M15,0)</f>
        <v>0</v>
      </c>
      <c r="R15" s="14" t="n">
        <f aca="false">IF(AND(สมมติฐาน!$D$27&gt;0,O15&lt;=สมมติฐาน!$D$33),สมมติฐาน!$D$27*สมมติฐาน!$B$37*LOOKUP(O15,สมมติฐาน!$A$59:$A$64,สมมติฐาน!$B$59:$B$64)*สมมติฐาน!$D$34*M15,0)</f>
        <v>35510.7702477513</v>
      </c>
      <c r="S15" s="14" t="n">
        <f aca="false">IF(D15="รับราชการ",0,$AD$6*12*(1+สมมติฐาน!$B$42)^(A15-36-1))</f>
        <v>0</v>
      </c>
      <c r="T15" s="14" t="n">
        <f aca="false">IF(C15=สมมติฐาน!$D$8,$AD$7,0)+IF(C15=65,$AD$9,0)+IF(C15=70,$AD$11,0)+IF(A15=62,$AD$12+$AD$13,0)</f>
        <v>0</v>
      </c>
      <c r="U15" s="14" t="n">
        <f aca="false">G15+H15+I15+J15+K15+L15+P15+Q15+R15+S15+T15</f>
        <v>509982.186543135</v>
      </c>
      <c r="V15" s="14" t="n">
        <f aca="false">U15/E15</f>
        <v>452849.587075044</v>
      </c>
      <c r="W15" s="22" t="n">
        <f aca="false">1/(1+สมมติฐาน!$B$41)^(A15-1)</f>
        <v>0.887971382186192</v>
      </c>
      <c r="X15" s="14" t="n">
        <f aca="false">V15*W15</f>
        <v>402117.473757473</v>
      </c>
    </row>
    <row r="16" customFormat="false" ht="15" hidden="false" customHeight="true" outlineLevel="0" collapsed="false">
      <c r="A16" s="23" t="n">
        <v>8</v>
      </c>
      <c r="B16" s="23" t="n">
        <f aca="false">สมมติฐาน!$B$38+A16-1</f>
        <v>2576</v>
      </c>
      <c r="C16" s="23" t="n">
        <f aca="false">สมมติฐาน!$D$7+A16-1</f>
        <v>31</v>
      </c>
      <c r="D16" s="24" t="str">
        <f aca="false">IF(C16&lt;สมมติฐาน!$D$8,"รับราชการ","รับบำนาญ")</f>
        <v>รับราชการ</v>
      </c>
      <c r="E16" s="25" t="n">
        <f aca="false">(1+สมมติฐาน!$B$39)^(A16-1)</f>
        <v>1.14868566764928</v>
      </c>
      <c r="F16" s="26" t="n">
        <f aca="false">IF(D16="รับราชการ",สมมติฐาน!$D$13*(1+สมมติฐาน!$D$15)^(A16-1)*E16,0)</f>
        <v>31245.5598676628</v>
      </c>
      <c r="G16" s="26" t="n">
        <f aca="false">F16*12</f>
        <v>374946.718411954</v>
      </c>
      <c r="H16" s="26" t="n">
        <f aca="false">IF(D16="รับราชการ",IF(A16&gt;=สมมติฐาน!$D$19,สมมติฐาน!$D$18,IF(A16&gt;=สมมติฐาน!$D$17,สมมติฐาน!$D$16,0))*12*E16,0)</f>
        <v>0</v>
      </c>
      <c r="I16" s="26" t="n">
        <f aca="false">G16*สมมติฐาน!$D$21</f>
        <v>18747.3359205977</v>
      </c>
      <c r="J16" s="26" t="n">
        <f aca="false">IF(AND(D16="รับราชการ",A16&lt;=สมมติฐาน!$D$23),สมมติฐาน!$D$22*12*E16,0)</f>
        <v>68921.1400589568</v>
      </c>
      <c r="K16" s="26" t="n">
        <f aca="false">IF(AND(D16="รับราชการ",สมมติฐาน!$D$26&gt;0,A16&gt;=สมมติฐาน!$D$29,A16&lt;สมมติฐาน!$D$29+สมมติฐาน!$D$30),สมมติฐาน!$D$28*สมมติฐาน!$D$26*E16,0)</f>
        <v>57434.283382464</v>
      </c>
      <c r="L16" s="26" t="n">
        <f aca="false">G16*สมมติฐาน!$D$20</f>
        <v>14997.8687364782</v>
      </c>
      <c r="M16" s="25" t="n">
        <f aca="false">(1+สมมติฐาน!$B$39)^(A16-1)*(1+สมมติฐาน!$B$40)^(A16-1)</f>
        <v>1.31947876306287</v>
      </c>
      <c r="N16" s="23" t="n">
        <f aca="false">A16-สมมติฐาน!$D$31</f>
        <v>0</v>
      </c>
      <c r="O16" s="23" t="n">
        <f aca="false">C16+สมมติฐาน!$D$32</f>
        <v>59</v>
      </c>
      <c r="P16" s="26" t="n">
        <f aca="false">(1+สมมติฐาน!$D$25)*สมมติฐาน!$B$37*LOOKUP(C16,สมมติฐาน!$A$59:$A$64,สมมติฐาน!$B$59:$B$64)*สมมติฐาน!$D$34*M16</f>
        <v>21111.660209006</v>
      </c>
      <c r="Q16" s="26" t="n">
        <f aca="false">IF(AND(สมมติฐาน!$D$26&gt;0,N16&gt;=0,N16&lt;=19),สมมติฐาน!$D$26*สมมติฐาน!$B$37*LOOKUP(MAX(N16,0),สมมติฐาน!$A$59:$A$64,สมมติฐาน!$B$59:$B$64)*สมมติฐาน!$D$34*M16,0)</f>
        <v>15833.7451567545</v>
      </c>
      <c r="R16" s="26" t="n">
        <f aca="false">IF(AND(สมมติฐาน!$D$27&gt;0,O16&lt;=สมมติฐาน!$D$33),สมมติฐาน!$D$27*สมมติฐาน!$B$37*LOOKUP(O16,สมมติฐาน!$A$59:$A$64,สมมติฐาน!$B$59:$B$64)*สมมติฐาน!$D$34*M16,0)</f>
        <v>36945.4053657604</v>
      </c>
      <c r="S16" s="26" t="n">
        <f aca="false">IF(D16="รับราชการ",0,$AD$6*12*(1+สมมติฐาน!$B$42)^(A16-36-1))</f>
        <v>0</v>
      </c>
      <c r="T16" s="26" t="n">
        <f aca="false">IF(C16=สมมติฐาน!$D$8,$AD$7,0)+IF(C16=65,$AD$9,0)+IF(C16=70,$AD$11,0)+IF(A16=62,$AD$12+$AD$13,0)</f>
        <v>0</v>
      </c>
      <c r="U16" s="26" t="n">
        <f aca="false">G16+H16+I16+J16+K16+L16+P16+Q16+R16+S16+T16</f>
        <v>608938.157241972</v>
      </c>
      <c r="V16" s="26" t="n">
        <f aca="false">U16/E16</f>
        <v>530117.310933398</v>
      </c>
      <c r="W16" s="25" t="n">
        <f aca="false">1/(1+สมมติฐาน!$B$41)^(A16-1)</f>
        <v>0.870560178613914</v>
      </c>
      <c r="X16" s="26" t="n">
        <f aca="false">V16*W16</f>
        <v>461499.020892507</v>
      </c>
    </row>
    <row r="17" customFormat="false" ht="15" hidden="false" customHeight="true" outlineLevel="0" collapsed="false">
      <c r="A17" s="20" t="n">
        <v>9</v>
      </c>
      <c r="B17" s="20" t="n">
        <f aca="false">สมมติฐาน!$B$38+A17-1</f>
        <v>2577</v>
      </c>
      <c r="C17" s="20" t="n">
        <f aca="false">สมมติฐาน!$D$7+A17-1</f>
        <v>32</v>
      </c>
      <c r="D17" s="21" t="str">
        <f aca="false">IF(C17&lt;สมมติฐาน!$D$8,"รับราชการ","รับบำนาญ")</f>
        <v>รับราชการ</v>
      </c>
      <c r="E17" s="22" t="n">
        <f aca="false">(1+สมมติฐาน!$B$39)^(A17-1)</f>
        <v>1.17165938100227</v>
      </c>
      <c r="F17" s="14" t="n">
        <f aca="false">IF(D17="รับราชการ",สมมติฐาน!$D$13*(1+สมมติฐาน!$D$15)^(A17-1)*E17,0)</f>
        <v>33030.2229005431</v>
      </c>
      <c r="G17" s="14" t="n">
        <f aca="false">F17*12</f>
        <v>396362.674806517</v>
      </c>
      <c r="H17" s="14" t="n">
        <f aca="false">IF(D17="รับราชการ",IF(A17&gt;=สมมติฐาน!$D$19,สมมติฐาน!$D$18,IF(A17&gt;=สมมติฐาน!$D$17,สมมติฐาน!$D$16,0))*12*E17,0)</f>
        <v>0</v>
      </c>
      <c r="I17" s="14" t="n">
        <f aca="false">G17*สมมติฐาน!$D$21</f>
        <v>19818.1337403259</v>
      </c>
      <c r="J17" s="14" t="n">
        <f aca="false">IF(AND(D17="รับราชการ",A17&lt;=สมมติฐาน!$D$23),สมมติฐาน!$D$22*12*E17,0)</f>
        <v>70299.562860136</v>
      </c>
      <c r="K17" s="14" t="n">
        <f aca="false">IF(AND(D17="รับราชการ",สมมติฐาน!$D$26&gt;0,A17&gt;=สมมติฐาน!$D$29,A17&lt;สมมติฐาน!$D$29+สมมติฐาน!$D$30),สมมติฐาน!$D$28*สมมติฐาน!$D$26*E17,0)</f>
        <v>58582.9690501133</v>
      </c>
      <c r="L17" s="14" t="n">
        <f aca="false">G17*สมมติฐาน!$D$20</f>
        <v>15854.5069922607</v>
      </c>
      <c r="M17" s="22" t="n">
        <f aca="false">(1+สมมติฐาน!$B$39)^(A17-1)*(1+สมมติฐาน!$B$40)^(A17-1)</f>
        <v>1.37278570509061</v>
      </c>
      <c r="N17" s="20" t="n">
        <f aca="false">A17-สมมติฐาน!$D$31</f>
        <v>1</v>
      </c>
      <c r="O17" s="20" t="n">
        <f aca="false">C17+สมมติฐาน!$D$32</f>
        <v>60</v>
      </c>
      <c r="P17" s="14" t="n">
        <f aca="false">(1+สมมติฐาน!$D$25)*สมมติฐาน!$B$37*LOOKUP(C17,สมมติฐาน!$A$59:$A$64,สมมติฐาน!$B$59:$B$64)*สมมติฐาน!$D$34*M17</f>
        <v>21964.5712814498</v>
      </c>
      <c r="Q17" s="14" t="n">
        <f aca="false">IF(AND(สมมติฐาน!$D$26&gt;0,N17&gt;=0,N17&lt;=19),สมมติฐาน!$D$26*สมมติฐาน!$B$37*LOOKUP(MAX(N17,0),สมมติฐาน!$A$59:$A$64,สมมติฐาน!$B$59:$B$64)*สมมติฐาน!$D$34*M17,0)</f>
        <v>16473.4284610874</v>
      </c>
      <c r="R17" s="14" t="n">
        <f aca="false">IF(AND(สมมติฐาน!$D$27&gt;0,O17&lt;=สมมติฐาน!$D$33),สมมติฐาน!$D$27*สมมติฐาน!$B$37*LOOKUP(O17,สมมติฐาน!$A$59:$A$64,สมมติฐาน!$B$59:$B$64)*สมมติฐาน!$D$34*M17,0)</f>
        <v>76875.9994850743</v>
      </c>
      <c r="S17" s="14" t="n">
        <f aca="false">IF(D17="รับราชการ",0,$AD$6*12*(1+สมมติฐาน!$B$42)^(A17-36-1))</f>
        <v>0</v>
      </c>
      <c r="T17" s="14" t="n">
        <f aca="false">IF(C17=สมมติฐาน!$D$8,$AD$7,0)+IF(C17=65,$AD$9,0)+IF(C17=70,$AD$11,0)+IF(A17=62,$AD$12+$AD$13,0)</f>
        <v>0</v>
      </c>
      <c r="U17" s="14" t="n">
        <f aca="false">G17+H17+I17+J17+K17+L17+P17+Q17+R17+S17+T17</f>
        <v>676231.846676964</v>
      </c>
      <c r="V17" s="14" t="n">
        <f aca="false">U17/E17</f>
        <v>577157.369830897</v>
      </c>
      <c r="W17" s="22" t="n">
        <f aca="false">1/(1+สมมติฐาน!$B$41)^(A17-1)</f>
        <v>0.853490371190111</v>
      </c>
      <c r="X17" s="14" t="n">
        <f aca="false">V17*W17</f>
        <v>492598.25781208</v>
      </c>
    </row>
    <row r="18" customFormat="false" ht="15" hidden="false" customHeight="true" outlineLevel="0" collapsed="false">
      <c r="A18" s="23" t="n">
        <v>10</v>
      </c>
      <c r="B18" s="23" t="n">
        <f aca="false">สมมติฐาน!$B$38+A18-1</f>
        <v>2578</v>
      </c>
      <c r="C18" s="23" t="n">
        <f aca="false">สมมติฐาน!$D$7+A18-1</f>
        <v>33</v>
      </c>
      <c r="D18" s="24" t="str">
        <f aca="false">IF(C18&lt;สมมติฐาน!$D$8,"รับราชการ","รับบำนาญ")</f>
        <v>รับราชการ</v>
      </c>
      <c r="E18" s="25" t="n">
        <f aca="false">(1+สมมติฐาน!$B$39)^(A18-1)</f>
        <v>1.19509256862231</v>
      </c>
      <c r="F18" s="26" t="n">
        <f aca="false">IF(D18="รับราชการ",สมมติฐาน!$D$13*(1+สมมติฐาน!$D$15)^(A18-1)*E18,0)</f>
        <v>34916.8211253168</v>
      </c>
      <c r="G18" s="26" t="n">
        <f aca="false">F18*12</f>
        <v>419001.853503802</v>
      </c>
      <c r="H18" s="26" t="n">
        <f aca="false">IF(D18="รับราชการ",IF(A18&gt;=สมมติฐาน!$D$19,สมมติฐาน!$D$18,IF(A18&gt;=สมมติฐาน!$D$17,สมมติฐาน!$D$16,0))*12*E18,0)</f>
        <v>0</v>
      </c>
      <c r="I18" s="26" t="n">
        <f aca="false">G18*สมมติฐาน!$D$21</f>
        <v>20950.0926751901</v>
      </c>
      <c r="J18" s="26" t="n">
        <f aca="false">IF(AND(D18="รับราชการ",A18&lt;=สมมติฐาน!$D$23),สมมติฐาน!$D$22*12*E18,0)</f>
        <v>71705.5541173387</v>
      </c>
      <c r="K18" s="26" t="n">
        <f aca="false">IF(AND(D18="รับราชการ",สมมติฐาน!$D$26&gt;0,A18&gt;=สมมติฐาน!$D$29,A18&lt;สมมติฐาน!$D$29+สมมติฐาน!$D$30),สมมติฐาน!$D$28*สมมติฐาน!$D$26*E18,0)</f>
        <v>59754.6284311156</v>
      </c>
      <c r="L18" s="26" t="n">
        <f aca="false">G18*สมมติฐาน!$D$20</f>
        <v>16760.0741401521</v>
      </c>
      <c r="M18" s="25" t="n">
        <f aca="false">(1+สมมติฐาน!$B$39)^(A18-1)*(1+สมมติฐาน!$B$40)^(A18-1)</f>
        <v>1.42824624757627</v>
      </c>
      <c r="N18" s="23" t="n">
        <f aca="false">A18-สมมติฐาน!$D$31</f>
        <v>2</v>
      </c>
      <c r="O18" s="23" t="n">
        <f aca="false">C18+สมมติฐาน!$D$32</f>
        <v>61</v>
      </c>
      <c r="P18" s="26" t="n">
        <f aca="false">(1+สมมติฐาน!$D$25)*สมมติฐาน!$B$37*LOOKUP(C18,สมมติฐาน!$A$59:$A$64,สมมติฐาน!$B$59:$B$64)*สมมติฐาน!$D$34*M18</f>
        <v>22851.9399612204</v>
      </c>
      <c r="Q18" s="26" t="n">
        <f aca="false">IF(AND(สมมติฐาน!$D$26&gt;0,N18&gt;=0,N18&lt;=19),สมมติฐาน!$D$26*สมมติฐาน!$B$37*LOOKUP(MAX(N18,0),สมมติฐาน!$A$59:$A$64,สมมติฐาน!$B$59:$B$64)*สมมติฐาน!$D$34*M18,0)</f>
        <v>17138.9549709153</v>
      </c>
      <c r="R18" s="26" t="n">
        <f aca="false">IF(AND(สมมติฐาน!$D$27&gt;0,O18&lt;=สมมติฐาน!$D$33),สมมติฐาน!$D$27*สมมติฐาน!$B$37*LOOKUP(O18,สมมติฐาน!$A$59:$A$64,สมมติฐาน!$B$59:$B$64)*สมมติฐาน!$D$34*M18,0)</f>
        <v>79981.7898642713</v>
      </c>
      <c r="S18" s="26" t="n">
        <f aca="false">IF(D18="รับราชการ",0,$AD$6*12*(1+สมมติฐาน!$B$42)^(A18-36-1))</f>
        <v>0</v>
      </c>
      <c r="T18" s="26" t="n">
        <f aca="false">IF(C18=สมมติฐาน!$D$8,$AD$7,0)+IF(C18=65,$AD$9,0)+IF(C18=70,$AD$11,0)+IF(A18=62,$AD$12+$AD$13,0)</f>
        <v>0</v>
      </c>
      <c r="U18" s="26" t="n">
        <f aca="false">G18+H18+I18+J18+K18+L18+P18+Q18+R18+S18+T18</f>
        <v>708144.887664005</v>
      </c>
      <c r="V18" s="26" t="n">
        <f aca="false">U18/E18</f>
        <v>592543.963753658</v>
      </c>
      <c r="W18" s="25" t="n">
        <f aca="false">1/(1+สมมติฐาน!$B$41)^(A18-1)</f>
        <v>0.836755265872658</v>
      </c>
      <c r="X18" s="26" t="n">
        <f aca="false">V18*W18</f>
        <v>495814.281931931</v>
      </c>
    </row>
    <row r="19" customFormat="false" ht="15" hidden="false" customHeight="true" outlineLevel="0" collapsed="false">
      <c r="A19" s="20" t="n">
        <v>11</v>
      </c>
      <c r="B19" s="20" t="n">
        <f aca="false">สมมติฐาน!$B$38+A19-1</f>
        <v>2579</v>
      </c>
      <c r="C19" s="20" t="n">
        <f aca="false">สมมติฐาน!$D$7+A19-1</f>
        <v>34</v>
      </c>
      <c r="D19" s="21" t="str">
        <f aca="false">IF(C19&lt;สมมติฐาน!$D$8,"รับราชการ","รับบำนาญ")</f>
        <v>รับราชการ</v>
      </c>
      <c r="E19" s="22" t="n">
        <f aca="false">(1+สมมติฐาน!$B$39)^(A19-1)</f>
        <v>1.21899441999476</v>
      </c>
      <c r="F19" s="14" t="n">
        <f aca="false">IF(D19="รับราชการ",สมมติฐาน!$D$13*(1+สมมติฐาน!$D$15)^(A19-1)*E19,0)</f>
        <v>36911.1768082354</v>
      </c>
      <c r="G19" s="14" t="n">
        <f aca="false">F19*12</f>
        <v>442934.121698824</v>
      </c>
      <c r="H19" s="14" t="n">
        <f aca="false">IF(D19="รับราชการ",IF(A19&gt;=สมมติฐาน!$D$19,สมมติฐาน!$D$18,IF(A19&gt;=สมมติฐาน!$D$17,สมมติฐาน!$D$16,0))*12*E19,0)</f>
        <v>0</v>
      </c>
      <c r="I19" s="14" t="n">
        <f aca="false">G19*สมมติฐาน!$D$21</f>
        <v>22146.7060849412</v>
      </c>
      <c r="J19" s="14" t="n">
        <f aca="false">IF(AND(D19="รับราชการ",A19&lt;=สมมติฐาน!$D$23),สมมติฐาน!$D$22*12*E19,0)</f>
        <v>73139.6651996854</v>
      </c>
      <c r="K19" s="14" t="n">
        <f aca="false">IF(AND(D19="รับราชการ",สมมติฐาน!$D$26&gt;0,A19&gt;=สมมติฐาน!$D$29,A19&lt;สมมติฐาน!$D$29+สมมติฐาน!$D$30),สมมติฐาน!$D$28*สมมติฐาน!$D$26*E19,0)</f>
        <v>60949.7209997379</v>
      </c>
      <c r="L19" s="14" t="n">
        <f aca="false">G19*สมมติฐาน!$D$20</f>
        <v>17717.364867953</v>
      </c>
      <c r="M19" s="22" t="n">
        <f aca="false">(1+สมมติฐาน!$B$39)^(A19-1)*(1+สมมติฐาน!$B$40)^(A19-1)</f>
        <v>1.48594739597836</v>
      </c>
      <c r="N19" s="20" t="n">
        <f aca="false">A19-สมมติฐาน!$D$31</f>
        <v>3</v>
      </c>
      <c r="O19" s="20" t="n">
        <f aca="false">C19+สมมติฐาน!$D$32</f>
        <v>62</v>
      </c>
      <c r="P19" s="14" t="n">
        <f aca="false">(1+สมมติฐาน!$D$25)*สมมติฐาน!$B$37*LOOKUP(C19,สมมติฐาน!$A$59:$A$64,สมมติฐาน!$B$59:$B$64)*สมมติฐาน!$D$34*M19</f>
        <v>23775.1583356537</v>
      </c>
      <c r="Q19" s="14" t="n">
        <f aca="false">IF(AND(สมมติฐาน!$D$26&gt;0,N19&gt;=0,N19&lt;=19),สมมติฐาน!$D$26*สมมติฐาน!$B$37*LOOKUP(MAX(N19,0),สมมติฐาน!$A$59:$A$64,สมมติฐาน!$B$59:$B$64)*สมมติฐาน!$D$34*M19,0)</f>
        <v>17831.3687517403</v>
      </c>
      <c r="R19" s="14" t="n">
        <f aca="false">IF(AND(สมมติฐาน!$D$27&gt;0,O19&lt;=สมมติฐาน!$D$33),สมมติฐาน!$D$27*สมมติฐาน!$B$37*LOOKUP(O19,สมมติฐาน!$A$59:$A$64,สมมติฐาน!$B$59:$B$64)*สมมติฐาน!$D$34*M19,0)</f>
        <v>83213.0541747879</v>
      </c>
      <c r="S19" s="14" t="n">
        <f aca="false">IF(D19="รับราชการ",0,$AD$6*12*(1+สมมติฐาน!$B$42)^(A19-36-1))</f>
        <v>0</v>
      </c>
      <c r="T19" s="14" t="n">
        <f aca="false">IF(C19=สมมติฐาน!$D$8,$AD$7,0)+IF(C19=65,$AD$9,0)+IF(C19=70,$AD$11,0)+IF(A19=62,$AD$12+$AD$13,0)</f>
        <v>0</v>
      </c>
      <c r="U19" s="14" t="n">
        <f aca="false">G19+H19+I19+J19+K19+L19+P19+Q19+R19+S19+T19</f>
        <v>741707.160113324</v>
      </c>
      <c r="V19" s="14" t="n">
        <f aca="false">U19/E19</f>
        <v>608458.207804194</v>
      </c>
      <c r="W19" s="22" t="n">
        <f aca="false">1/(1+สมมติฐาน!$B$41)^(A19-1)</f>
        <v>0.820348299875155</v>
      </c>
      <c r="X19" s="14" t="n">
        <f aca="false">V19*W19</f>
        <v>499147.656317255</v>
      </c>
    </row>
    <row r="20" customFormat="false" ht="15" hidden="false" customHeight="true" outlineLevel="0" collapsed="false">
      <c r="A20" s="23" t="n">
        <v>12</v>
      </c>
      <c r="B20" s="23" t="n">
        <f aca="false">สมมติฐาน!$B$38+A20-1</f>
        <v>2580</v>
      </c>
      <c r="C20" s="23" t="n">
        <f aca="false">สมมติฐาน!$D$7+A20-1</f>
        <v>35</v>
      </c>
      <c r="D20" s="24" t="str">
        <f aca="false">IF(C20&lt;สมมติฐาน!$D$8,"รับราชการ","รับบำนาญ")</f>
        <v>รับราชการ</v>
      </c>
      <c r="E20" s="25" t="n">
        <f aca="false">(1+สมมติฐาน!$B$39)^(A20-1)</f>
        <v>1.24337430839465</v>
      </c>
      <c r="F20" s="26" t="n">
        <f aca="false">IF(D20="รับราชการ",สมมติฐาน!$D$13*(1+สมมติฐาน!$D$15)^(A20-1)*E20,0)</f>
        <v>39019.4447678676</v>
      </c>
      <c r="G20" s="26" t="n">
        <f aca="false">F20*12</f>
        <v>468233.337214411</v>
      </c>
      <c r="H20" s="26" t="n">
        <f aca="false">IF(D20="รับราชการ",IF(A20&gt;=สมมติฐาน!$D$19,สมมติฐาน!$D$18,IF(A20&gt;=สมมติฐาน!$D$17,สมมติฐาน!$D$16,0))*12*E20,0)</f>
        <v>83554.7535241207</v>
      </c>
      <c r="I20" s="26" t="n">
        <f aca="false">G20*สมมติฐาน!$D$21</f>
        <v>23411.6668607206</v>
      </c>
      <c r="J20" s="26" t="n">
        <f aca="false">IF(AND(D20="รับราชการ",A20&lt;=สมมติฐาน!$D$23),สมมติฐาน!$D$22*12*E20,0)</f>
        <v>74602.4585036792</v>
      </c>
      <c r="K20" s="26" t="n">
        <f aca="false">IF(AND(D20="รับราชการ",สมมติฐาน!$D$26&gt;0,A20&gt;=สมมติฐาน!$D$29,A20&lt;สมมติฐาน!$D$29+สมมติฐาน!$D$30),สมมติฐาน!$D$28*สมมติฐาน!$D$26*E20,0)</f>
        <v>62168.7154197326</v>
      </c>
      <c r="L20" s="26" t="n">
        <f aca="false">G20*สมมติฐาน!$D$20</f>
        <v>18729.3334885764</v>
      </c>
      <c r="M20" s="25" t="n">
        <f aca="false">(1+สมมติฐาน!$B$39)^(A20-1)*(1+สมมติฐาน!$B$40)^(A20-1)</f>
        <v>1.54597967077588</v>
      </c>
      <c r="N20" s="23" t="n">
        <f aca="false">A20-สมมติฐาน!$D$31</f>
        <v>4</v>
      </c>
      <c r="O20" s="23" t="n">
        <f aca="false">C20+สมมติฐาน!$D$32</f>
        <v>63</v>
      </c>
      <c r="P20" s="26" t="n">
        <f aca="false">(1+สมมติฐาน!$D$25)*สมมติฐาน!$B$37*LOOKUP(C20,สมมติฐาน!$A$59:$A$64,สมมติฐาน!$B$59:$B$64)*สมมติฐาน!$D$34*M20</f>
        <v>24735.6747324141</v>
      </c>
      <c r="Q20" s="26" t="n">
        <f aca="false">IF(AND(สมมติฐาน!$D$26&gt;0,N20&gt;=0,N20&lt;=19),สมมติฐาน!$D$26*สมมติฐาน!$B$37*LOOKUP(MAX(N20,0),สมมติฐาน!$A$59:$A$64,สมมติฐาน!$B$59:$B$64)*สมมติฐาน!$D$34*M20,0)</f>
        <v>18551.7560493106</v>
      </c>
      <c r="R20" s="26" t="n">
        <f aca="false">IF(AND(สมมติฐาน!$D$27&gt;0,O20&lt;=สมมติฐาน!$D$33),สมมติฐาน!$D$27*สมมติฐาน!$B$37*LOOKUP(O20,สมมติฐาน!$A$59:$A$64,สมมติฐาน!$B$59:$B$64)*สมมติฐาน!$D$34*M20,0)</f>
        <v>86574.8615634493</v>
      </c>
      <c r="S20" s="26" t="n">
        <f aca="false">IF(D20="รับราชการ",0,$AD$6*12*(1+สมมติฐาน!$B$42)^(A20-36-1))</f>
        <v>0</v>
      </c>
      <c r="T20" s="26" t="n">
        <f aca="false">IF(C20=สมมติฐาน!$D$8,$AD$7,0)+IF(C20=65,$AD$9,0)+IF(C20=70,$AD$11,0)+IF(A20=62,$AD$12+$AD$13,0)</f>
        <v>0</v>
      </c>
      <c r="U20" s="26" t="n">
        <f aca="false">G20+H20+I20+J20+K20+L20+P20+Q20+R20+S20+T20</f>
        <v>860562.557356414</v>
      </c>
      <c r="V20" s="26" t="n">
        <f aca="false">U20/E20</f>
        <v>692118.657709363</v>
      </c>
      <c r="W20" s="25" t="n">
        <f aca="false">1/(1+สมมติฐาน!$B$41)^(A20-1)</f>
        <v>0.804263039093289</v>
      </c>
      <c r="X20" s="26" t="n">
        <f aca="false">V20*W20</f>
        <v>556645.4550625</v>
      </c>
    </row>
    <row r="21" customFormat="false" ht="15" hidden="false" customHeight="true" outlineLevel="0" collapsed="false">
      <c r="A21" s="20" t="n">
        <v>13</v>
      </c>
      <c r="B21" s="20" t="n">
        <f aca="false">สมมติฐาน!$B$38+A21-1</f>
        <v>2581</v>
      </c>
      <c r="C21" s="20" t="n">
        <f aca="false">สมมติฐาน!$D$7+A21-1</f>
        <v>36</v>
      </c>
      <c r="D21" s="21" t="str">
        <f aca="false">IF(C21&lt;สมมติฐาน!$D$8,"รับราชการ","รับบำนาญ")</f>
        <v>รับราชการ</v>
      </c>
      <c r="E21" s="22" t="n">
        <f aca="false">(1+สมมติฐาน!$B$39)^(A21-1)</f>
        <v>1.26824179456255</v>
      </c>
      <c r="F21" s="14" t="n">
        <f aca="false">IF(D21="รับราชการ",สมมติฐาน!$D$13*(1+สมมติฐาน!$D$15)^(A21-1)*E21,0)</f>
        <v>41248.1313696012</v>
      </c>
      <c r="G21" s="14" t="n">
        <f aca="false">F21*12</f>
        <v>494977.576435215</v>
      </c>
      <c r="H21" s="14" t="n">
        <f aca="false">IF(D21="รับราชการ",IF(A21&gt;=สมมติฐาน!$D$19,สมมติฐาน!$D$18,IF(A21&gt;=สมมติฐาน!$D$17,สมมติฐาน!$D$16,0))*12*E21,0)</f>
        <v>85225.8485946031</v>
      </c>
      <c r="I21" s="14" t="n">
        <f aca="false">G21*สมมติฐาน!$D$21</f>
        <v>24748.8788217607</v>
      </c>
      <c r="J21" s="14" t="n">
        <f aca="false">IF(AND(D21="รับราชการ",A21&lt;=สมมติฐาน!$D$23),สมมติฐาน!$D$22*12*E21,0)</f>
        <v>0</v>
      </c>
      <c r="K21" s="14" t="n">
        <f aca="false">IF(AND(D21="รับราชการ",สมมติฐาน!$D$26&gt;0,A21&gt;=สมมติฐาน!$D$29,A21&lt;สมมติฐาน!$D$29+สมมติฐาน!$D$30),สมมติฐาน!$D$28*สมมติฐาน!$D$26*E21,0)</f>
        <v>63412.0897281273</v>
      </c>
      <c r="L21" s="14" t="n">
        <f aca="false">G21*สมมติฐาน!$D$20</f>
        <v>19799.1030574086</v>
      </c>
      <c r="M21" s="22" t="n">
        <f aca="false">(1+สมมติฐาน!$B$39)^(A21-1)*(1+สมมติฐาน!$B$40)^(A21-1)</f>
        <v>1.60843724947523</v>
      </c>
      <c r="N21" s="20" t="n">
        <f aca="false">A21-สมมติฐาน!$D$31</f>
        <v>5</v>
      </c>
      <c r="O21" s="20" t="n">
        <f aca="false">C21+สมมติฐาน!$D$32</f>
        <v>64</v>
      </c>
      <c r="P21" s="14" t="n">
        <f aca="false">(1+สมมติฐาน!$D$25)*สมมติฐาน!$B$37*LOOKUP(C21,สมมติฐาน!$A$59:$A$64,สมมติฐาน!$B$59:$B$64)*สมมติฐาน!$D$34*M21</f>
        <v>25734.9959916036</v>
      </c>
      <c r="Q21" s="14" t="n">
        <f aca="false">IF(AND(สมมติฐาน!$D$26&gt;0,N21&gt;=0,N21&lt;=19),สมมติฐาน!$D$26*สมมติฐาน!$B$37*LOOKUP(MAX(N21,0),สมมติฐาน!$A$59:$A$64,สมมติฐาน!$B$59:$B$64)*สมมติฐาน!$D$34*M21,0)</f>
        <v>19301.2469937027</v>
      </c>
      <c r="R21" s="14" t="n">
        <f aca="false">IF(AND(สมมติฐาน!$D$27&gt;0,O21&lt;=สมมติฐาน!$D$33),สมมติฐาน!$D$27*สมมติฐาน!$B$37*LOOKUP(O21,สมมติฐาน!$A$59:$A$64,สมมติฐาน!$B$59:$B$64)*สมมติฐาน!$D$34*M21,0)</f>
        <v>90072.4859706127</v>
      </c>
      <c r="S21" s="14" t="n">
        <f aca="false">IF(D21="รับราชการ",0,$AD$6*12*(1+สมมติฐาน!$B$42)^(A21-36-1))</f>
        <v>0</v>
      </c>
      <c r="T21" s="14" t="n">
        <f aca="false">IF(C21=สมมติฐาน!$D$8,$AD$7,0)+IF(C21=65,$AD$9,0)+IF(C21=70,$AD$11,0)+IF(A21=62,$AD$12+$AD$13,0)</f>
        <v>0</v>
      </c>
      <c r="U21" s="14" t="n">
        <f aca="false">G21+H21+I21+J21+K21+L21+P21+Q21+R21+S21+T21</f>
        <v>823272.225593033</v>
      </c>
      <c r="V21" s="14" t="n">
        <f aca="false">U21/E21</f>
        <v>649144.531526028</v>
      </c>
      <c r="W21" s="22" t="n">
        <f aca="false">1/(1+สมมติฐาน!$B$41)^(A21-1)</f>
        <v>0.788493175581656</v>
      </c>
      <c r="X21" s="14" t="n">
        <f aca="false">V21*W21</f>
        <v>511846.033074425</v>
      </c>
    </row>
    <row r="22" customFormat="false" ht="15" hidden="false" customHeight="true" outlineLevel="0" collapsed="false">
      <c r="A22" s="23" t="n">
        <v>14</v>
      </c>
      <c r="B22" s="23" t="n">
        <f aca="false">สมมติฐาน!$B$38+A22-1</f>
        <v>2582</v>
      </c>
      <c r="C22" s="23" t="n">
        <f aca="false">สมมติฐาน!$D$7+A22-1</f>
        <v>37</v>
      </c>
      <c r="D22" s="24" t="str">
        <f aca="false">IF(C22&lt;สมมติฐาน!$D$8,"รับราชการ","รับบำนาญ")</f>
        <v>รับราชการ</v>
      </c>
      <c r="E22" s="25" t="n">
        <f aca="false">(1+สมมติฐาน!$B$39)^(A22-1)</f>
        <v>1.2936066304538</v>
      </c>
      <c r="F22" s="26" t="n">
        <f aca="false">IF(D22="รับราชการ",สมมติฐาน!$D$13*(1+สมมติฐาน!$D$15)^(A22-1)*E22,0)</f>
        <v>43604.1146050593</v>
      </c>
      <c r="G22" s="26" t="n">
        <f aca="false">F22*12</f>
        <v>523249.375260712</v>
      </c>
      <c r="H22" s="26" t="n">
        <f aca="false">IF(D22="รับราชการ",IF(A22&gt;=สมมติฐาน!$D$19,สมมติฐาน!$D$18,IF(A22&gt;=สมมติฐาน!$D$17,สมมติฐาน!$D$16,0))*12*E22,0)</f>
        <v>86930.3655664951</v>
      </c>
      <c r="I22" s="26" t="n">
        <f aca="false">G22*สมมติฐาน!$D$21</f>
        <v>26162.4687630356</v>
      </c>
      <c r="J22" s="26" t="n">
        <f aca="false">IF(AND(D22="รับราชการ",A22&lt;=สมมติฐาน!$D$23),สมมติฐาน!$D$22*12*E22,0)</f>
        <v>0</v>
      </c>
      <c r="K22" s="26" t="n">
        <f aca="false">IF(AND(D22="รับราชการ",สมมติฐาน!$D$26&gt;0,A22&gt;=สมมติฐาน!$D$29,A22&lt;สมมติฐาน!$D$29+สมมติฐาน!$D$30),สมมติฐาน!$D$28*สมมติฐาน!$D$26*E22,0)</f>
        <v>64680.3315226898</v>
      </c>
      <c r="L22" s="26" t="n">
        <f aca="false">G22*สมมติฐาน!$D$20</f>
        <v>20929.9750104285</v>
      </c>
      <c r="M22" s="25" t="n">
        <f aca="false">(1+สมมติฐาน!$B$39)^(A22-1)*(1+สมมติฐาน!$B$40)^(A22-1)</f>
        <v>1.67341811435403</v>
      </c>
      <c r="N22" s="23" t="n">
        <f aca="false">A22-สมมติฐาน!$D$31</f>
        <v>6</v>
      </c>
      <c r="O22" s="23" t="n">
        <f aca="false">C22+สมมติฐาน!$D$32</f>
        <v>65</v>
      </c>
      <c r="P22" s="26" t="n">
        <f aca="false">(1+สมมติฐาน!$D$25)*สมมติฐาน!$B$37*LOOKUP(C22,สมมติฐาน!$A$59:$A$64,สมมติฐาน!$B$59:$B$64)*สมมติฐาน!$D$34*M22</f>
        <v>26774.6898296644</v>
      </c>
      <c r="Q22" s="26" t="n">
        <f aca="false">IF(AND(สมมติฐาน!$D$26&gt;0,N22&gt;=0,N22&lt;=19),สมมติฐาน!$D$26*สมมติฐาน!$B$37*LOOKUP(MAX(N22,0),สมมติฐาน!$A$59:$A$64,สมมติฐาน!$B$59:$B$64)*สมมติฐาน!$D$34*M22,0)</f>
        <v>20081.0173722483</v>
      </c>
      <c r="R22" s="26" t="n">
        <f aca="false">IF(AND(สมมติฐาน!$D$27&gt;0,O22&lt;=สมมติฐาน!$D$33),สมมติฐาน!$D$27*สมมติฐาน!$B$37*LOOKUP(O22,สมมติฐาน!$A$59:$A$64,สมมติฐาน!$B$59:$B$64)*สมมติฐาน!$D$34*M22,0)</f>
        <v>93711.4144038254</v>
      </c>
      <c r="S22" s="26" t="n">
        <f aca="false">IF(D22="รับราชการ",0,$AD$6*12*(1+สมมติฐาน!$B$42)^(A22-36-1))</f>
        <v>0</v>
      </c>
      <c r="T22" s="26" t="n">
        <f aca="false">IF(C22=สมมติฐาน!$D$8,$AD$7,0)+IF(C22=65,$AD$9,0)+IF(C22=70,$AD$11,0)+IF(A22=62,$AD$12+$AD$13,0)</f>
        <v>0</v>
      </c>
      <c r="U22" s="26" t="n">
        <f aca="false">G22+H22+I22+J22+K22+L22+P22+Q22+R22+S22+T22</f>
        <v>862519.637729099</v>
      </c>
      <c r="V22" s="26" t="n">
        <f aca="false">U22/E22</f>
        <v>666755.73348486</v>
      </c>
      <c r="W22" s="25" t="n">
        <f aca="false">1/(1+สมมติฐาน!$B$41)^(A22-1)</f>
        <v>0.773032525080055</v>
      </c>
      <c r="X22" s="26" t="n">
        <f aca="false">V22*W22</f>
        <v>515423.868267405</v>
      </c>
    </row>
    <row r="23" customFormat="false" ht="15" hidden="false" customHeight="true" outlineLevel="0" collapsed="false">
      <c r="A23" s="20" t="n">
        <v>15</v>
      </c>
      <c r="B23" s="20" t="n">
        <f aca="false">สมมติฐาน!$B$38+A23-1</f>
        <v>2583</v>
      </c>
      <c r="C23" s="20" t="n">
        <f aca="false">สมมติฐาน!$D$7+A23-1</f>
        <v>38</v>
      </c>
      <c r="D23" s="21" t="str">
        <f aca="false">IF(C23&lt;สมมติฐาน!$D$8,"รับราชการ","รับบำนาญ")</f>
        <v>รับราชการ</v>
      </c>
      <c r="E23" s="22" t="n">
        <f aca="false">(1+สมมติฐาน!$B$39)^(A23-1)</f>
        <v>1.31947876306287</v>
      </c>
      <c r="F23" s="14" t="n">
        <f aca="false">IF(D23="รับราชการ",สมมติฐาน!$D$13*(1+สมมติฐาน!$D$15)^(A23-1)*E23,0)</f>
        <v>46094.6653183995</v>
      </c>
      <c r="G23" s="14" t="n">
        <f aca="false">F23*12</f>
        <v>553135.983820794</v>
      </c>
      <c r="H23" s="14" t="n">
        <f aca="false">IF(D23="รับราชการ",IF(A23&gt;=สมมติฐาน!$D$19,สมมติฐาน!$D$18,IF(A23&gt;=สมมติฐาน!$D$17,สมมติฐาน!$D$16,0))*12*E23,0)</f>
        <v>88668.972877825</v>
      </c>
      <c r="I23" s="14" t="n">
        <f aca="false">G23*สมมติฐาน!$D$21</f>
        <v>27656.7991910397</v>
      </c>
      <c r="J23" s="14" t="n">
        <f aca="false">IF(AND(D23="รับราชการ",A23&lt;=สมมติฐาน!$D$23),สมมติฐาน!$D$22*12*E23,0)</f>
        <v>0</v>
      </c>
      <c r="K23" s="14" t="n">
        <f aca="false">IF(AND(D23="รับราชการ",สมมติฐาน!$D$26&gt;0,A23&gt;=สมมติฐาน!$D$29,A23&lt;สมมติฐาน!$D$29+สมมติฐาน!$D$30),สมมติฐาน!$D$28*สมมติฐาน!$D$26*E23,0)</f>
        <v>65973.9381531436</v>
      </c>
      <c r="L23" s="14" t="n">
        <f aca="false">G23*สมมติฐาน!$D$20</f>
        <v>22125.4393528318</v>
      </c>
      <c r="M23" s="22" t="n">
        <f aca="false">(1+สมมติฐาน!$B$39)^(A23-1)*(1+สมมติฐาน!$B$40)^(A23-1)</f>
        <v>1.74102420617393</v>
      </c>
      <c r="N23" s="20" t="n">
        <f aca="false">A23-สมมติฐาน!$D$31</f>
        <v>7</v>
      </c>
      <c r="O23" s="20" t="n">
        <f aca="false">C23+สมมติฐาน!$D$32</f>
        <v>66</v>
      </c>
      <c r="P23" s="14" t="n">
        <f aca="false">(1+สมมติฐาน!$D$25)*สมมติฐาน!$B$37*LOOKUP(C23,สมมติฐาน!$A$59:$A$64,สมมติฐาน!$B$59:$B$64)*สมมติฐาน!$D$34*M23</f>
        <v>27856.3872987828</v>
      </c>
      <c r="Q23" s="14" t="n">
        <f aca="false">IF(AND(สมมติฐาน!$D$26&gt;0,N23&gt;=0,N23&lt;=19),สมมติฐาน!$D$26*สมมติฐาน!$B$37*LOOKUP(MAX(N23,0),สมมติฐาน!$A$59:$A$64,สมมติฐาน!$B$59:$B$64)*สมมติฐาน!$D$34*M23,0)</f>
        <v>20892.2904740871</v>
      </c>
      <c r="R23" s="14" t="n">
        <f aca="false">IF(AND(สมมติฐาน!$D$27&gt;0,O23&lt;=สมมติฐาน!$D$33),สมมติฐาน!$D$27*สมมติฐาน!$B$37*LOOKUP(O23,สมมติฐาน!$A$59:$A$64,สมมติฐาน!$B$59:$B$64)*สมมติฐาน!$D$34*M23,0)</f>
        <v>97497.35554574</v>
      </c>
      <c r="S23" s="14" t="n">
        <f aca="false">IF(D23="รับราชการ",0,$AD$6*12*(1+สมมติฐาน!$B$42)^(A23-36-1))</f>
        <v>0</v>
      </c>
      <c r="T23" s="14" t="n">
        <f aca="false">IF(C23=สมมติฐาน!$D$8,$AD$7,0)+IF(C23=65,$AD$9,0)+IF(C23=70,$AD$11,0)+IF(A23=62,$AD$12+$AD$13,0)</f>
        <v>0</v>
      </c>
      <c r="U23" s="14" t="n">
        <f aca="false">G23+H23+I23+J23+K23+L23+P23+Q23+R23+S23+T23</f>
        <v>903807.166714245</v>
      </c>
      <c r="V23" s="14" t="n">
        <f aca="false">U23/E23</f>
        <v>684972.87869663</v>
      </c>
      <c r="W23" s="22" t="n">
        <f aca="false">1/(1+สมมติฐาน!$B$41)^(A23-1)</f>
        <v>0.757875024588289</v>
      </c>
      <c r="X23" s="14" t="n">
        <f aca="false">V23*W23</f>
        <v>519123.83728452</v>
      </c>
    </row>
    <row r="24" customFormat="false" ht="15" hidden="false" customHeight="true" outlineLevel="0" collapsed="false">
      <c r="A24" s="23" t="n">
        <v>16</v>
      </c>
      <c r="B24" s="23" t="n">
        <f aca="false">สมมติฐาน!$B$38+A24-1</f>
        <v>2584</v>
      </c>
      <c r="C24" s="23" t="n">
        <f aca="false">สมมติฐาน!$D$7+A24-1</f>
        <v>39</v>
      </c>
      <c r="D24" s="24" t="str">
        <f aca="false">IF(C24&lt;สมมติฐาน!$D$8,"รับราชการ","รับบำนาญ")</f>
        <v>รับราชการ</v>
      </c>
      <c r="E24" s="25" t="n">
        <f aca="false">(1+สมมติฐาน!$B$39)^(A24-1)</f>
        <v>1.34586833832413</v>
      </c>
      <c r="F24" s="26" t="n">
        <f aca="false">IF(D24="รับราชการ",สมมติฐาน!$D$13*(1+สมมติฐาน!$D$15)^(A24-1)*E24,0)</f>
        <v>48727.4696450032</v>
      </c>
      <c r="G24" s="26" t="n">
        <f aca="false">F24*12</f>
        <v>584729.635740038</v>
      </c>
      <c r="H24" s="26" t="n">
        <f aca="false">IF(D24="รับราชการ",IF(A24&gt;=สมมติฐาน!$D$19,สมมติฐาน!$D$18,IF(A24&gt;=สมมติฐาน!$D$17,สมมติฐาน!$D$16,0))*12*E24,0)</f>
        <v>90442.3523353815</v>
      </c>
      <c r="I24" s="26" t="n">
        <f aca="false">G24*สมมติฐาน!$D$21</f>
        <v>29236.4817870019</v>
      </c>
      <c r="J24" s="26" t="n">
        <f aca="false">IF(AND(D24="รับราชการ",A24&lt;=สมมติฐาน!$D$23),สมมติฐาน!$D$22*12*E24,0)</f>
        <v>0</v>
      </c>
      <c r="K24" s="26" t="n">
        <f aca="false">IF(AND(D24="รับราชการ",สมมติฐาน!$D$26&gt;0,A24&gt;=สมมติฐาน!$D$29,A24&lt;สมมติฐาน!$D$29+สมมติฐาน!$D$30),สมมติฐาน!$D$28*สมมติฐาน!$D$26*E24,0)</f>
        <v>67293.4169162065</v>
      </c>
      <c r="L24" s="26" t="n">
        <f aca="false">G24*สมมติฐาน!$D$20</f>
        <v>23389.1854296015</v>
      </c>
      <c r="M24" s="25" t="n">
        <f aca="false">(1+สมมติฐาน!$B$39)^(A24-1)*(1+สมมติฐาน!$B$40)^(A24-1)</f>
        <v>1.81136158410335</v>
      </c>
      <c r="N24" s="23" t="n">
        <f aca="false">A24-สมมติฐาน!$D$31</f>
        <v>8</v>
      </c>
      <c r="O24" s="23" t="n">
        <f aca="false">C24+สมมติฐาน!$D$32</f>
        <v>67</v>
      </c>
      <c r="P24" s="26" t="n">
        <f aca="false">(1+สมมติฐาน!$D$25)*สมมติฐาน!$B$37*LOOKUP(C24,สมมติฐาน!$A$59:$A$64,สมมติฐาน!$B$59:$B$64)*สมมติฐาน!$D$34*M24</f>
        <v>28981.7853456537</v>
      </c>
      <c r="Q24" s="26" t="n">
        <f aca="false">IF(AND(สมมติฐาน!$D$26&gt;0,N24&gt;=0,N24&lt;=19),สมมติฐาน!$D$26*สมมติฐาน!$B$37*LOOKUP(MAX(N24,0),สมมติฐาน!$A$59:$A$64,สมมติฐาน!$B$59:$B$64)*สมมติฐาน!$D$34*M24,0)</f>
        <v>21736.3390092403</v>
      </c>
      <c r="R24" s="26" t="n">
        <f aca="false">IF(AND(สมมติฐาน!$D$27&gt;0,O24&lt;=สมมติฐาน!$D$33),สมมติฐาน!$D$27*สมมติฐาน!$B$37*LOOKUP(O24,สมมติฐาน!$A$59:$A$64,สมมติฐาน!$B$59:$B$64)*สมมติฐาน!$D$34*M24,0)</f>
        <v>101436.248709788</v>
      </c>
      <c r="S24" s="26" t="n">
        <f aca="false">IF(D24="รับราชการ",0,$AD$6*12*(1+สมมติฐาน!$B$42)^(A24-36-1))</f>
        <v>0</v>
      </c>
      <c r="T24" s="26" t="n">
        <f aca="false">IF(C24=สมมติฐาน!$D$8,$AD$7,0)+IF(C24=65,$AD$9,0)+IF(C24=70,$AD$11,0)+IF(A24=62,$AD$12+$AD$13,0)</f>
        <v>0</v>
      </c>
      <c r="U24" s="26" t="n">
        <f aca="false">G24+H24+I24+J24+K24+L24+P24+Q24+R24+S24+T24</f>
        <v>947245.445272911</v>
      </c>
      <c r="V24" s="26" t="n">
        <f aca="false">U24/E24</f>
        <v>703817.318752306</v>
      </c>
      <c r="W24" s="25" t="n">
        <f aca="false">1/(1+สมมติฐาน!$B$41)^(A24-1)</f>
        <v>0.743014729988519</v>
      </c>
      <c r="X24" s="26" t="n">
        <f aca="false">V24*W24</f>
        <v>522946.635053988</v>
      </c>
    </row>
    <row r="25" customFormat="false" ht="15" hidden="false" customHeight="true" outlineLevel="0" collapsed="false">
      <c r="A25" s="20" t="n">
        <v>17</v>
      </c>
      <c r="B25" s="20" t="n">
        <f aca="false">สมมติฐาน!$B$38+A25-1</f>
        <v>2585</v>
      </c>
      <c r="C25" s="20" t="n">
        <f aca="false">สมมติฐาน!$D$7+A25-1</f>
        <v>40</v>
      </c>
      <c r="D25" s="21" t="str">
        <f aca="false">IF(C25&lt;สมมติฐาน!$D$8,"รับราชการ","รับบำนาญ")</f>
        <v>รับราชการ</v>
      </c>
      <c r="E25" s="22" t="n">
        <f aca="false">(1+สมมติฐาน!$B$39)^(A25-1)</f>
        <v>1.37278570509061</v>
      </c>
      <c r="F25" s="14" t="n">
        <f aca="false">IF(D25="รับราชการ",สมมติฐาน!$D$13*(1+สมมติฐาน!$D$15)^(A25-1)*E25,0)</f>
        <v>51510.6527318017</v>
      </c>
      <c r="G25" s="14" t="n">
        <f aca="false">F25*12</f>
        <v>618127.832781621</v>
      </c>
      <c r="H25" s="14" t="n">
        <f aca="false">IF(D25="รับราชการ",IF(A25&gt;=สมมติฐาน!$D$19,สมมติฐาน!$D$18,IF(A25&gt;=สมมติฐาน!$D$17,สมมติฐาน!$D$16,0))*12*E25,0)</f>
        <v>92251.1993820892</v>
      </c>
      <c r="I25" s="14" t="n">
        <f aca="false">G25*สมมติฐาน!$D$21</f>
        <v>30906.391639081</v>
      </c>
      <c r="J25" s="14" t="n">
        <f aca="false">IF(AND(D25="รับราชการ",A25&lt;=สมมติฐาน!$D$23),สมมติฐาน!$D$22*12*E25,0)</f>
        <v>0</v>
      </c>
      <c r="K25" s="14" t="n">
        <f aca="false">IF(AND(D25="รับราชการ",สมมติฐาน!$D$26&gt;0,A25&gt;=สมมติฐาน!$D$29,A25&lt;สมมติฐาน!$D$29+สมมติฐาน!$D$30),สมมติฐาน!$D$28*สมมติฐาน!$D$26*E25,0)</f>
        <v>68639.2852545306</v>
      </c>
      <c r="L25" s="14" t="n">
        <f aca="false">G25*สมมติฐาน!$D$20</f>
        <v>24725.1133112648</v>
      </c>
      <c r="M25" s="22" t="n">
        <f aca="false">(1+สมมติฐาน!$B$39)^(A25-1)*(1+สมมติฐาน!$B$40)^(A25-1)</f>
        <v>1.88454059210113</v>
      </c>
      <c r="N25" s="20" t="n">
        <f aca="false">A25-สมมติฐาน!$D$31</f>
        <v>9</v>
      </c>
      <c r="O25" s="20" t="n">
        <f aca="false">C25+สมมติฐาน!$D$32</f>
        <v>68</v>
      </c>
      <c r="P25" s="14" t="n">
        <f aca="false">(1+สมมติฐาน!$D$25)*สมมติฐาน!$B$37*LOOKUP(C25,สมมติฐาน!$A$59:$A$64,สมมติฐาน!$B$59:$B$64)*สมมติฐาน!$D$34*M25</f>
        <v>30152.6494736181</v>
      </c>
      <c r="Q25" s="14" t="n">
        <f aca="false">IF(AND(สมมติฐาน!$D$26&gt;0,N25&gt;=0,N25&lt;=19),สมมติฐาน!$D$26*สมมติฐาน!$B$37*LOOKUP(MAX(N25,0),สมมติฐาน!$A$59:$A$64,สมมติฐาน!$B$59:$B$64)*สมมติฐาน!$D$34*M25,0)</f>
        <v>22614.4871052136</v>
      </c>
      <c r="R25" s="14" t="n">
        <f aca="false">IF(AND(สมมติฐาน!$D$27&gt;0,O25&lt;=สมมติฐาน!$D$33),สมมติฐาน!$D$27*สมมติฐาน!$B$37*LOOKUP(O25,สมมติฐาน!$A$59:$A$64,สมมติฐาน!$B$59:$B$64)*สมมติฐาน!$D$34*M25,0)</f>
        <v>105534.273157663</v>
      </c>
      <c r="S25" s="14" t="n">
        <f aca="false">IF(D25="รับราชการ",0,$AD$6*12*(1+สมมติฐาน!$B$42)^(A25-36-1))</f>
        <v>0</v>
      </c>
      <c r="T25" s="14" t="n">
        <f aca="false">IF(C25=สมมติฐาน!$D$8,$AD$7,0)+IF(C25=65,$AD$9,0)+IF(C25=70,$AD$11,0)+IF(A25=62,$AD$12+$AD$13,0)</f>
        <v>0</v>
      </c>
      <c r="U25" s="14" t="n">
        <f aca="false">G25+H25+I25+J25+K25+L25+P25+Q25+R25+S25+T25</f>
        <v>992951.232105081</v>
      </c>
      <c r="V25" s="14" t="n">
        <f aca="false">U25/E25</f>
        <v>723311.168249338</v>
      </c>
      <c r="W25" s="22" t="n">
        <f aca="false">1/(1+สมมติฐาน!$B$41)^(A25-1)</f>
        <v>0.728445813714234</v>
      </c>
      <c r="X25" s="14" t="n">
        <f aca="false">V25*W25</f>
        <v>526892.992523982</v>
      </c>
    </row>
    <row r="26" customFormat="false" ht="15" hidden="false" customHeight="true" outlineLevel="0" collapsed="false">
      <c r="A26" s="23" t="n">
        <v>18</v>
      </c>
      <c r="B26" s="23" t="n">
        <f aca="false">สมมติฐาน!$B$38+A26-1</f>
        <v>2586</v>
      </c>
      <c r="C26" s="23" t="n">
        <f aca="false">สมมติฐาน!$D$7+A26-1</f>
        <v>41</v>
      </c>
      <c r="D26" s="24" t="str">
        <f aca="false">IF(C26&lt;สมมติฐาน!$D$8,"รับราชการ","รับบำนาญ")</f>
        <v>รับราชการ</v>
      </c>
      <c r="E26" s="25" t="n">
        <f aca="false">(1+สมมติฐาน!$B$39)^(A26-1)</f>
        <v>1.40024141919242</v>
      </c>
      <c r="F26" s="26" t="n">
        <f aca="false">IF(D26="รับราชการ",สมมติฐาน!$D$13*(1+สมมติฐาน!$D$15)^(A26-1)*E26,0)</f>
        <v>54452.803812446</v>
      </c>
      <c r="G26" s="26" t="n">
        <f aca="false">F26*12</f>
        <v>653433.645749352</v>
      </c>
      <c r="H26" s="26" t="n">
        <f aca="false">IF(D26="รับราชการ",IF(A26&gt;=สมมติฐาน!$D$19,สมมติฐาน!$D$18,IF(A26&gt;=สมมติฐาน!$D$17,สมมติฐาน!$D$16,0))*12*E26,0)</f>
        <v>94096.2233697309</v>
      </c>
      <c r="I26" s="26" t="n">
        <f aca="false">G26*สมมติฐาน!$D$21</f>
        <v>32671.6822874676</v>
      </c>
      <c r="J26" s="26" t="n">
        <f aca="false">IF(AND(D26="รับราชการ",A26&lt;=สมมติฐาน!$D$23),สมมติฐาน!$D$22*12*E26,0)</f>
        <v>0</v>
      </c>
      <c r="K26" s="26" t="n">
        <f aca="false">IF(AND(D26="รับราชการ",สมมติฐาน!$D$26&gt;0,A26&gt;=สมมติฐาน!$D$29,A26&lt;สมมติฐาน!$D$29+สมมติฐาน!$D$30),สมมติฐาน!$D$28*สมมติฐาน!$D$26*E26,0)</f>
        <v>70012.0709596212</v>
      </c>
      <c r="L26" s="26" t="n">
        <f aca="false">G26*สมมติฐาน!$D$20</f>
        <v>26137.3458299741</v>
      </c>
      <c r="M26" s="25" t="n">
        <f aca="false">(1+สมมติฐาน!$B$39)^(A26-1)*(1+สมมติฐาน!$B$40)^(A26-1)</f>
        <v>1.96067603202202</v>
      </c>
      <c r="N26" s="23" t="n">
        <f aca="false">A26-สมมติฐาน!$D$31</f>
        <v>10</v>
      </c>
      <c r="O26" s="23" t="n">
        <f aca="false">C26+สมมติฐาน!$D$32</f>
        <v>69</v>
      </c>
      <c r="P26" s="26" t="n">
        <f aca="false">(1+สมมติฐาน!$D$25)*สมมติฐาน!$B$37*LOOKUP(C26,สมมติฐาน!$A$59:$A$64,สมมติฐาน!$B$59:$B$64)*สมมติฐาน!$D$34*M26</f>
        <v>31370.8165123523</v>
      </c>
      <c r="Q26" s="26" t="n">
        <f aca="false">IF(AND(สมมติฐาน!$D$26&gt;0,N26&gt;=0,N26&lt;=19),สมมติฐาน!$D$26*สมมติฐาน!$B$37*LOOKUP(MAX(N26,0),สมมติฐาน!$A$59:$A$64,สมมติฐาน!$B$59:$B$64)*สมมติฐาน!$D$34*M26,0)</f>
        <v>23528.1123842642</v>
      </c>
      <c r="R26" s="26" t="n">
        <f aca="false">IF(AND(สมมติฐาน!$D$27&gt;0,O26&lt;=สมมติฐาน!$D$33),สมมติฐาน!$D$27*สมมติฐาน!$B$37*LOOKUP(O26,สมมติฐาน!$A$59:$A$64,สมมติฐาน!$B$59:$B$64)*สมมติฐาน!$D$34*M26,0)</f>
        <v>109797.857793233</v>
      </c>
      <c r="S26" s="26" t="n">
        <f aca="false">IF(D26="รับราชการ",0,$AD$6*12*(1+สมมติฐาน!$B$42)^(A26-36-1))</f>
        <v>0</v>
      </c>
      <c r="T26" s="26" t="n">
        <f aca="false">IF(C26=สมมติฐาน!$D$8,$AD$7,0)+IF(C26=65,$AD$9,0)+IF(C26=70,$AD$11,0)+IF(A26=62,$AD$12+$AD$13,0)</f>
        <v>0</v>
      </c>
      <c r="U26" s="26" t="n">
        <f aca="false">G26+H26+I26+J26+K26+L26+P26+Q26+R26+S26+T26</f>
        <v>1041047.75488599</v>
      </c>
      <c r="V26" s="26" t="n">
        <f aca="false">U26/E26</f>
        <v>743477.33227775</v>
      </c>
      <c r="W26" s="25" t="n">
        <f aca="false">1/(1+สมมติฐาน!$B$41)^(A26-1)</f>
        <v>0.714162562464936</v>
      </c>
      <c r="X26" s="26" t="n">
        <f aca="false">V26*W26</f>
        <v>530963.676754072</v>
      </c>
    </row>
    <row r="27" customFormat="false" ht="15" hidden="false" customHeight="true" outlineLevel="0" collapsed="false">
      <c r="A27" s="20" t="n">
        <v>19</v>
      </c>
      <c r="B27" s="20" t="n">
        <f aca="false">สมมติฐาน!$B$38+A27-1</f>
        <v>2587</v>
      </c>
      <c r="C27" s="20" t="n">
        <f aca="false">สมมติฐาน!$D$7+A27-1</f>
        <v>42</v>
      </c>
      <c r="D27" s="21" t="str">
        <f aca="false">IF(C27&lt;สมมติฐาน!$D$8,"รับราชการ","รับบำนาญ")</f>
        <v>รับราชการ</v>
      </c>
      <c r="E27" s="22" t="n">
        <f aca="false">(1+สมมติฐาน!$B$39)^(A27-1)</f>
        <v>1.42824624757627</v>
      </c>
      <c r="F27" s="14" t="n">
        <f aca="false">IF(D27="รับราชการ",สมมติฐาน!$D$13*(1+สมมติฐาน!$D$15)^(A27-1)*E27,0)</f>
        <v>57563.0027147011</v>
      </c>
      <c r="G27" s="14" t="n">
        <f aca="false">F27*12</f>
        <v>690756.032576414</v>
      </c>
      <c r="H27" s="14" t="n">
        <f aca="false">IF(D27="รับราชการ",IF(A27&gt;=สมมติฐาน!$D$19,สมมติฐาน!$D$18,IF(A27&gt;=สมมติฐาน!$D$17,สมมติฐาน!$D$16,0))*12*E27,0)</f>
        <v>95978.1478371256</v>
      </c>
      <c r="I27" s="14" t="n">
        <f aca="false">G27*สมมติฐาน!$D$21</f>
        <v>34537.8016288207</v>
      </c>
      <c r="J27" s="14" t="n">
        <f aca="false">IF(AND(D27="รับราชการ",A27&lt;=สมมติฐาน!$D$23),สมมติฐาน!$D$22*12*E27,0)</f>
        <v>0</v>
      </c>
      <c r="K27" s="14" t="n">
        <f aca="false">IF(AND(D27="รับราชการ",สมมติฐาน!$D$26&gt;0,A27&gt;=สมมติฐาน!$D$29,A27&lt;สมมติฐาน!$D$29+สมมติฐาน!$D$30),สมมติฐาน!$D$28*สมมติฐาน!$D$26*E27,0)</f>
        <v>71412.3123788137</v>
      </c>
      <c r="L27" s="14" t="n">
        <f aca="false">G27*สมมติฐาน!$D$20</f>
        <v>27630.2413030565</v>
      </c>
      <c r="M27" s="22" t="n">
        <f aca="false">(1+สมมติฐาน!$B$39)^(A27-1)*(1+สมมติฐาน!$B$40)^(A27-1)</f>
        <v>2.03988734371571</v>
      </c>
      <c r="N27" s="20" t="n">
        <f aca="false">A27-สมมติฐาน!$D$31</f>
        <v>11</v>
      </c>
      <c r="O27" s="20" t="n">
        <f aca="false">C27+สมมติฐาน!$D$32</f>
        <v>70</v>
      </c>
      <c r="P27" s="14" t="n">
        <f aca="false">(1+สมมติฐาน!$D$25)*สมมติฐาน!$B$37*LOOKUP(C27,สมมติฐาน!$A$59:$A$64,สมมติฐาน!$B$59:$B$64)*สมมติฐาน!$D$34*M27</f>
        <v>32638.1974994513</v>
      </c>
      <c r="Q27" s="14" t="n">
        <f aca="false">IF(AND(สมมติฐาน!$D$26&gt;0,N27&gt;=0,N27&lt;=19),สมมติฐาน!$D$26*สมมติฐาน!$B$37*LOOKUP(MAX(N27,0),สมมติฐาน!$A$59:$A$64,สมมติฐาน!$B$59:$B$64)*สมมติฐาน!$D$34*M27,0)</f>
        <v>24478.6481245885</v>
      </c>
      <c r="R27" s="14" t="n">
        <f aca="false">IF(AND(สมมติฐาน!$D$27&gt;0,O27&lt;=สมมติฐาน!$D$33),สมมติฐาน!$D$27*สมมติฐาน!$B$37*LOOKUP(O27,สมมติฐาน!$A$59:$A$64,สมมติฐาน!$B$59:$B$64)*สมมติฐาน!$D$34*M27,0)</f>
        <v>183589.860934414</v>
      </c>
      <c r="S27" s="14" t="n">
        <f aca="false">IF(D27="รับราชการ",0,$AD$6*12*(1+สมมติฐาน!$B$42)^(A27-36-1))</f>
        <v>0</v>
      </c>
      <c r="T27" s="14" t="n">
        <f aca="false">IF(C27=สมมติฐาน!$D$8,$AD$7,0)+IF(C27=65,$AD$9,0)+IF(C27=70,$AD$11,0)+IF(A27=62,$AD$12+$AD$13,0)</f>
        <v>0</v>
      </c>
      <c r="U27" s="14" t="n">
        <f aca="false">G27+H27+I27+J27+K27+L27+P27+Q27+R27+S27+T27</f>
        <v>1161021.24228268</v>
      </c>
      <c r="V27" s="14" t="n">
        <f aca="false">U27/E27</f>
        <v>812899.907318455</v>
      </c>
      <c r="W27" s="22" t="n">
        <f aca="false">1/(1+สมมติฐาน!$B$41)^(A27-1)</f>
        <v>0.700159374965623</v>
      </c>
      <c r="X27" s="14" t="n">
        <f aca="false">V27*W27</f>
        <v>569159.491017702</v>
      </c>
    </row>
    <row r="28" customFormat="false" ht="15" hidden="false" customHeight="true" outlineLevel="0" collapsed="false">
      <c r="A28" s="23" t="n">
        <v>20</v>
      </c>
      <c r="B28" s="23" t="n">
        <f aca="false">สมมติฐาน!$B$38+A28-1</f>
        <v>2588</v>
      </c>
      <c r="C28" s="23" t="n">
        <f aca="false">สมมติฐาน!$D$7+A28-1</f>
        <v>43</v>
      </c>
      <c r="D28" s="24" t="str">
        <f aca="false">IF(C28&lt;สมมติฐาน!$D$8,"รับราชการ","รับบำนาญ")</f>
        <v>รับราชการ</v>
      </c>
      <c r="E28" s="25" t="n">
        <f aca="false">(1+สมมติฐาน!$B$39)^(A28-1)</f>
        <v>1.4568111725278</v>
      </c>
      <c r="F28" s="26" t="n">
        <f aca="false">IF(D28="รับราชการ",สมมติฐาน!$D$13*(1+สมมติฐาน!$D$15)^(A28-1)*E28,0)</f>
        <v>60850.8478818742</v>
      </c>
      <c r="G28" s="26" t="n">
        <f aca="false">F28*12</f>
        <v>730210.174582491</v>
      </c>
      <c r="H28" s="26" t="n">
        <f aca="false">IF(D28="รับราชการ",IF(A28&gt;=สมมติฐาน!$D$19,สมมติฐาน!$D$18,IF(A28&gt;=สมมติฐาน!$D$17,สมมติฐาน!$D$16,0))*12*E28,0)</f>
        <v>97897.7107938681</v>
      </c>
      <c r="I28" s="26" t="n">
        <f aca="false">G28*สมมติฐาน!$D$21</f>
        <v>36510.5087291245</v>
      </c>
      <c r="J28" s="26" t="n">
        <f aca="false">IF(AND(D28="รับราชการ",A28&lt;=สมมติฐาน!$D$23),สมมติฐาน!$D$22*12*E28,0)</f>
        <v>0</v>
      </c>
      <c r="K28" s="26" t="n">
        <f aca="false">IF(AND(D28="รับราชการ",สมมติฐาน!$D$26&gt;0,A28&gt;=สมมติฐาน!$D$29,A28&lt;สมมติฐาน!$D$29+สมมติฐาน!$D$30),สมมติฐาน!$D$28*สมมติฐาน!$D$26*E28,0)</f>
        <v>72840.55862639</v>
      </c>
      <c r="L28" s="26" t="n">
        <f aca="false">G28*สมมติฐาน!$D$20</f>
        <v>29208.4069832996</v>
      </c>
      <c r="M28" s="25" t="n">
        <f aca="false">(1+สมมติฐาน!$B$39)^(A28-1)*(1+สมมติฐาน!$B$40)^(A28-1)</f>
        <v>2.12229879240182</v>
      </c>
      <c r="N28" s="23" t="n">
        <f aca="false">A28-สมมติฐาน!$D$31</f>
        <v>12</v>
      </c>
      <c r="O28" s="23" t="n">
        <f aca="false">C28+สมมติฐาน!$D$32</f>
        <v>71</v>
      </c>
      <c r="P28" s="26" t="n">
        <f aca="false">(1+สมมติฐาน!$D$25)*สมมติฐาน!$B$37*LOOKUP(C28,สมมติฐาน!$A$59:$A$64,สมมติฐาน!$B$59:$B$64)*สมมติฐาน!$D$34*M28</f>
        <v>33956.7806784291</v>
      </c>
      <c r="Q28" s="26" t="n">
        <f aca="false">IF(AND(สมมติฐาน!$D$26&gt;0,N28&gt;=0,N28&lt;=19),สมมติฐาน!$D$26*สมมติฐาน!$B$37*LOOKUP(MAX(N28,0),สมมติฐาน!$A$59:$A$64,สมมติฐาน!$B$59:$B$64)*สมมติฐาน!$D$34*M28,0)</f>
        <v>25467.5855088218</v>
      </c>
      <c r="R28" s="26" t="n">
        <f aca="false">IF(AND(สมมติฐาน!$D$27&gt;0,O28&lt;=สมมติฐาน!$D$33),สมมติฐาน!$D$27*สมมติฐาน!$B$37*LOOKUP(O28,สมมติฐาน!$A$59:$A$64,สมมติฐาน!$B$59:$B$64)*สมมติฐาน!$D$34*M28,0)</f>
        <v>191006.891316164</v>
      </c>
      <c r="S28" s="26" t="n">
        <f aca="false">IF(D28="รับราชการ",0,$AD$6*12*(1+สมมติฐาน!$B$42)^(A28-36-1))</f>
        <v>0</v>
      </c>
      <c r="T28" s="26" t="n">
        <f aca="false">IF(C28=สมมติฐาน!$D$8,$AD$7,0)+IF(C28=65,$AD$9,0)+IF(C28=70,$AD$11,0)+IF(A28=62,$AD$12+$AD$13,0)</f>
        <v>0</v>
      </c>
      <c r="U28" s="26" t="n">
        <f aca="false">G28+H28+I28+J28+K28+L28+P28+Q28+R28+S28+T28</f>
        <v>1217098.61721859</v>
      </c>
      <c r="V28" s="26" t="n">
        <f aca="false">U28/E28</f>
        <v>835453.928532638</v>
      </c>
      <c r="W28" s="25" t="n">
        <f aca="false">1/(1+สมมติฐาน!$B$41)^(A28-1)</f>
        <v>0.686430759770219</v>
      </c>
      <c r="X28" s="26" t="n">
        <f aca="false">V28*W28</f>
        <v>573481.274915672</v>
      </c>
    </row>
    <row r="29" customFormat="false" ht="15" hidden="false" customHeight="true" outlineLevel="0" collapsed="false">
      <c r="A29" s="20" t="n">
        <v>21</v>
      </c>
      <c r="B29" s="20" t="n">
        <f aca="false">สมมติฐาน!$B$38+A29-1</f>
        <v>2589</v>
      </c>
      <c r="C29" s="20" t="n">
        <f aca="false">สมมติฐาน!$D$7+A29-1</f>
        <v>44</v>
      </c>
      <c r="D29" s="21" t="str">
        <f aca="false">IF(C29&lt;สมมติฐาน!$D$8,"รับราชการ","รับบำนาญ")</f>
        <v>รับราชการ</v>
      </c>
      <c r="E29" s="22" t="n">
        <f aca="false">(1+สมมติฐาน!$B$39)^(A29-1)</f>
        <v>1.48594739597836</v>
      </c>
      <c r="F29" s="14" t="n">
        <f aca="false">IF(D29="รับราชการ",สมมติฐาน!$D$13*(1+สมมติฐาน!$D$15)^(A29-1)*E29,0)</f>
        <v>64326.4859947503</v>
      </c>
      <c r="G29" s="14" t="n">
        <f aca="false">F29*12</f>
        <v>771917.831937004</v>
      </c>
      <c r="H29" s="14" t="n">
        <f aca="false">IF(D29="รับราชการ",IF(A29&gt;=สมมติฐาน!$D$19,สมมติฐาน!$D$18,IF(A29&gt;=สมมติฐาน!$D$17,สมมติฐาน!$D$16,0))*12*E29,0)</f>
        <v>99855.6650097455</v>
      </c>
      <c r="I29" s="14" t="n">
        <f aca="false">G29*สมมติฐาน!$D$21</f>
        <v>38595.8915968502</v>
      </c>
      <c r="J29" s="14" t="n">
        <f aca="false">IF(AND(D29="รับราชการ",A29&lt;=สมมติฐาน!$D$23),สมมติฐาน!$D$22*12*E29,0)</f>
        <v>0</v>
      </c>
      <c r="K29" s="14" t="n">
        <f aca="false">IF(AND(D29="รับราชการ",สมมติฐาน!$D$26&gt;0,A29&gt;=สมมติฐาน!$D$29,A29&lt;สมมติฐาน!$D$29+สมมติฐาน!$D$30),สมมติฐาน!$D$28*สมมติฐาน!$D$26*E29,0)</f>
        <v>74297.3697989178</v>
      </c>
      <c r="L29" s="14" t="n">
        <f aca="false">G29*สมมติฐาน!$D$20</f>
        <v>30876.7132774801</v>
      </c>
      <c r="M29" s="22" t="n">
        <f aca="false">(1+สมมติฐาน!$B$39)^(A29-1)*(1+สมมติฐาน!$B$40)^(A29-1)</f>
        <v>2.20803966361485</v>
      </c>
      <c r="N29" s="20" t="n">
        <f aca="false">A29-สมมติฐาน!$D$31</f>
        <v>13</v>
      </c>
      <c r="O29" s="20" t="n">
        <f aca="false">C29+สมมติฐาน!$D$32</f>
        <v>72</v>
      </c>
      <c r="P29" s="14" t="n">
        <f aca="false">(1+สมมติฐาน!$D$25)*สมมติฐาน!$B$37*LOOKUP(C29,สมมติฐาน!$A$59:$A$64,สมมติฐาน!$B$59:$B$64)*สมมติฐาน!$D$34*M29</f>
        <v>35328.6346178377</v>
      </c>
      <c r="Q29" s="14" t="n">
        <f aca="false">IF(AND(สมมติฐาน!$D$26&gt;0,N29&gt;=0,N29&lt;=19),สมมติฐาน!$D$26*สมมติฐาน!$B$37*LOOKUP(MAX(N29,0),สมมติฐาน!$A$59:$A$64,สมมติฐาน!$B$59:$B$64)*สมมติฐาน!$D$34*M29,0)</f>
        <v>26496.4759633783</v>
      </c>
      <c r="R29" s="14" t="n">
        <f aca="false">IF(AND(สมมติฐาน!$D$27&gt;0,O29&lt;=สมมติฐาน!$D$33),สมมติฐาน!$D$27*สมมติฐาน!$B$37*LOOKUP(O29,สมมติฐาน!$A$59:$A$64,สมมติฐาน!$B$59:$B$64)*สมมติฐาน!$D$34*M29,0)</f>
        <v>198723.569725337</v>
      </c>
      <c r="S29" s="14" t="n">
        <f aca="false">IF(D29="รับราชการ",0,$AD$6*12*(1+สมมติฐาน!$B$42)^(A29-36-1))</f>
        <v>0</v>
      </c>
      <c r="T29" s="14" t="n">
        <f aca="false">IF(C29=สมมติฐาน!$D$8,$AD$7,0)+IF(C29=65,$AD$9,0)+IF(C29=70,$AD$11,0)+IF(A29=62,$AD$12+$AD$13,0)</f>
        <v>0</v>
      </c>
      <c r="U29" s="14" t="n">
        <f aca="false">G29+H29+I29+J29+K29+L29+P29+Q29+R29+S29+T29</f>
        <v>1276092.15192655</v>
      </c>
      <c r="V29" s="14" t="n">
        <f aca="false">U29/E29</f>
        <v>858773.43665074</v>
      </c>
      <c r="W29" s="22" t="n">
        <f aca="false">1/(1+สมมติฐาน!$B$41)^(A29-1)</f>
        <v>0.672971333108058</v>
      </c>
      <c r="X29" s="14" t="n">
        <f aca="false">V29*W29</f>
        <v>577929.904500637</v>
      </c>
    </row>
    <row r="30" customFormat="false" ht="15" hidden="false" customHeight="true" outlineLevel="0" collapsed="false">
      <c r="A30" s="23" t="n">
        <v>22</v>
      </c>
      <c r="B30" s="23" t="n">
        <f aca="false">สมมติฐาน!$B$38+A30-1</f>
        <v>2590</v>
      </c>
      <c r="C30" s="23" t="n">
        <f aca="false">สมมติฐาน!$D$7+A30-1</f>
        <v>45</v>
      </c>
      <c r="D30" s="24" t="str">
        <f aca="false">IF(C30&lt;สมมติฐาน!$D$8,"รับราชการ","รับบำนาญ")</f>
        <v>รับราชการ</v>
      </c>
      <c r="E30" s="25" t="n">
        <f aca="false">(1+สมมติฐาน!$B$39)^(A30-1)</f>
        <v>1.51566634389792</v>
      </c>
      <c r="F30" s="26" t="n">
        <f aca="false">IF(D30="รับราชการ",สมมติฐาน!$D$13*(1+สมมติฐาน!$D$15)^(A30-1)*E30,0)</f>
        <v>68000.6432854549</v>
      </c>
      <c r="G30" s="26" t="n">
        <f aca="false">F30*12</f>
        <v>816007.719425459</v>
      </c>
      <c r="H30" s="26" t="n">
        <f aca="false">IF(D30="รับราชการ",IF(A30&gt;=สมมติฐาน!$D$19,สมมติฐาน!$D$18,IF(A30&gt;=สมมติฐาน!$D$17,สมมติฐาน!$D$16,0))*12*E30,0)</f>
        <v>101852.77830994</v>
      </c>
      <c r="I30" s="26" t="n">
        <f aca="false">G30*สมมติฐาน!$D$21</f>
        <v>40800.3859712729</v>
      </c>
      <c r="J30" s="26" t="n">
        <f aca="false">IF(AND(D30="รับราชการ",A30&lt;=สมมติฐาน!$D$23),สมมติฐาน!$D$22*12*E30,0)</f>
        <v>0</v>
      </c>
      <c r="K30" s="26" t="n">
        <f aca="false">IF(AND(D30="รับราชการ",สมมติฐาน!$D$26&gt;0,A30&gt;=สมมติฐาน!$D$29,A30&lt;สมมติฐาน!$D$29+สมมติฐาน!$D$30),สมมติฐาน!$D$28*สมมติฐาน!$D$26*E30,0)</f>
        <v>75783.3171948961</v>
      </c>
      <c r="L30" s="26" t="n">
        <f aca="false">G30*สมมติฐาน!$D$20</f>
        <v>32640.3087770183</v>
      </c>
      <c r="M30" s="25" t="n">
        <f aca="false">(1+สมมติฐาน!$B$39)^(A30-1)*(1+สมมติฐาน!$B$40)^(A30-1)</f>
        <v>2.29724446602489</v>
      </c>
      <c r="N30" s="23" t="n">
        <f aca="false">A30-สมมติฐาน!$D$31</f>
        <v>14</v>
      </c>
      <c r="O30" s="23" t="n">
        <f aca="false">C30+สมมติฐาน!$D$32</f>
        <v>73</v>
      </c>
      <c r="P30" s="26" t="n">
        <f aca="false">(1+สมมติฐาน!$D$25)*สมมติฐาน!$B$37*LOOKUP(C30,สมมติฐาน!$A$59:$A$64,สมมติฐาน!$B$59:$B$64)*สมมติฐาน!$D$34*M30</f>
        <v>64322.845048697</v>
      </c>
      <c r="Q30" s="26" t="n">
        <f aca="false">IF(AND(สมมติฐาน!$D$26&gt;0,N30&gt;=0,N30&lt;=19),สมมติฐาน!$D$26*สมมติฐาน!$B$37*LOOKUP(MAX(N30,0),สมมติฐาน!$A$59:$A$64,สมมติฐาน!$B$59:$B$64)*สมมติฐาน!$D$34*M30,0)</f>
        <v>27566.9335922987</v>
      </c>
      <c r="R30" s="26" t="n">
        <f aca="false">IF(AND(สมมติฐาน!$D$27&gt;0,O30&lt;=สมมติฐาน!$D$33),สมมติฐาน!$D$27*สมมติฐาน!$B$37*LOOKUP(O30,สมมติฐาน!$A$59:$A$64,สมมติฐาน!$B$59:$B$64)*สมมติฐาน!$D$34*M30,0)</f>
        <v>206752.00194224</v>
      </c>
      <c r="S30" s="26" t="n">
        <f aca="false">IF(D30="รับราชการ",0,$AD$6*12*(1+สมมติฐาน!$B$42)^(A30-36-1))</f>
        <v>0</v>
      </c>
      <c r="T30" s="26" t="n">
        <f aca="false">IF(C30=สมมติฐาน!$D$8,$AD$7,0)+IF(C30=65,$AD$9,0)+IF(C30=70,$AD$11,0)+IF(A30=62,$AD$12+$AD$13,0)</f>
        <v>0</v>
      </c>
      <c r="U30" s="26" t="n">
        <f aca="false">G30+H30+I30+J30+K30+L30+P30+Q30+R30+S30+T30</f>
        <v>1365726.29026182</v>
      </c>
      <c r="V30" s="26" t="n">
        <f aca="false">U30/E30</f>
        <v>901073.178645314</v>
      </c>
      <c r="W30" s="25" t="n">
        <f aca="false">1/(1+สมมติฐาน!$B$41)^(A30-1)</f>
        <v>0.659775816772605</v>
      </c>
      <c r="X30" s="26" t="n">
        <f aca="false">V30*W30</f>
        <v>594506.2924126</v>
      </c>
    </row>
    <row r="31" customFormat="false" ht="15" hidden="false" customHeight="true" outlineLevel="0" collapsed="false">
      <c r="A31" s="20" t="n">
        <v>23</v>
      </c>
      <c r="B31" s="20" t="n">
        <f aca="false">สมมติฐาน!$B$38+A31-1</f>
        <v>2591</v>
      </c>
      <c r="C31" s="20" t="n">
        <f aca="false">สมมติฐาน!$D$7+A31-1</f>
        <v>46</v>
      </c>
      <c r="D31" s="21" t="str">
        <f aca="false">IF(C31&lt;สมมติฐาน!$D$8,"รับราชการ","รับบำนาญ")</f>
        <v>รับราชการ</v>
      </c>
      <c r="E31" s="22" t="n">
        <f aca="false">(1+สมมติฐาน!$B$39)^(A31-1)</f>
        <v>1.54597967077588</v>
      </c>
      <c r="F31" s="14" t="n">
        <f aca="false">IF(D31="รับราชการ",สมมติฐาน!$D$13*(1+สมมติฐาน!$D$15)^(A31-1)*E31,0)</f>
        <v>71884.6586398805</v>
      </c>
      <c r="G31" s="14" t="n">
        <f aca="false">F31*12</f>
        <v>862615.903678566</v>
      </c>
      <c r="H31" s="14" t="n">
        <f aca="false">IF(D31="รับราชการ",IF(A31&gt;=สมมติฐาน!$D$19,สมมติฐาน!$D$18,IF(A31&gt;=สมมติฐาน!$D$17,สมมติฐาน!$D$16,0))*12*E31,0)</f>
        <v>103889.833876139</v>
      </c>
      <c r="I31" s="14" t="n">
        <f aca="false">G31*สมมติฐาน!$D$21</f>
        <v>43130.7951839283</v>
      </c>
      <c r="J31" s="14" t="n">
        <f aca="false">IF(AND(D31="รับราชการ",A31&lt;=สมมติฐาน!$D$23),สมมติฐาน!$D$22*12*E31,0)</f>
        <v>0</v>
      </c>
      <c r="K31" s="14" t="n">
        <f aca="false">IF(AND(D31="รับราชการ",สมมติฐาน!$D$26&gt;0,A31&gt;=สมมติฐาน!$D$29,A31&lt;สมมติฐาน!$D$29+สมมติฐาน!$D$30),สมมติฐาน!$D$28*สมมติฐาน!$D$26*E31,0)</f>
        <v>77298.983538794</v>
      </c>
      <c r="L31" s="14" t="n">
        <f aca="false">G31*สมมติฐาน!$D$20</f>
        <v>34504.6361471426</v>
      </c>
      <c r="M31" s="22" t="n">
        <f aca="false">(1+สมมติฐาน!$B$39)^(A31-1)*(1+สมมติฐาน!$B$40)^(A31-1)</f>
        <v>2.3900531424523</v>
      </c>
      <c r="N31" s="20" t="n">
        <f aca="false">A31-สมมติฐาน!$D$31</f>
        <v>15</v>
      </c>
      <c r="O31" s="20" t="n">
        <f aca="false">C31+สมมติฐาน!$D$32</f>
        <v>74</v>
      </c>
      <c r="P31" s="14" t="n">
        <f aca="false">(1+สมมติฐาน!$D$25)*สมมติฐาน!$B$37*LOOKUP(C31,สมมติฐาน!$A$59:$A$64,สมมติฐาน!$B$59:$B$64)*สมมติฐาน!$D$34*M31</f>
        <v>66921.4879886644</v>
      </c>
      <c r="Q31" s="14" t="n">
        <f aca="false">IF(AND(สมมติฐาน!$D$26&gt;0,N31&gt;=0,N31&lt;=19),สมมติฐาน!$D$26*สมมติฐาน!$B$37*LOOKUP(MAX(N31,0),สมมติฐาน!$A$59:$A$64,สมมติฐาน!$B$59:$B$64)*สมมติฐาน!$D$34*M31,0)</f>
        <v>28680.6377094276</v>
      </c>
      <c r="R31" s="14" t="n">
        <f aca="false">IF(AND(สมมติฐาน!$D$27&gt;0,O31&lt;=สมมติฐาน!$D$33),สมมติฐาน!$D$27*สมมติฐาน!$B$37*LOOKUP(O31,สมมติฐาน!$A$59:$A$64,สมมติฐาน!$B$59:$B$64)*สมมติฐาน!$D$34*M31,0)</f>
        <v>215104.782820707</v>
      </c>
      <c r="S31" s="14" t="n">
        <f aca="false">IF(D31="รับราชการ",0,$AD$6*12*(1+สมมติฐาน!$B$42)^(A31-36-1))</f>
        <v>0</v>
      </c>
      <c r="T31" s="14" t="n">
        <f aca="false">IF(C31=สมมติฐาน!$D$8,$AD$7,0)+IF(C31=65,$AD$9,0)+IF(C31=70,$AD$11,0)+IF(A31=62,$AD$12+$AD$13,0)</f>
        <v>0</v>
      </c>
      <c r="U31" s="14" t="n">
        <f aca="false">G31+H31+I31+J31+K31+L31+P31+Q31+R31+S31+T31</f>
        <v>1432147.06094337</v>
      </c>
      <c r="V31" s="14" t="n">
        <f aca="false">U31/E31</f>
        <v>926368.624384704</v>
      </c>
      <c r="W31" s="22" t="n">
        <f aca="false">1/(1+สมมติฐาน!$B$41)^(A31-1)</f>
        <v>0.646839036051574</v>
      </c>
      <c r="X31" s="14" t="n">
        <f aca="false">V31*W31</f>
        <v>599211.388025424</v>
      </c>
    </row>
    <row r="32" customFormat="false" ht="15" hidden="false" customHeight="true" outlineLevel="0" collapsed="false">
      <c r="A32" s="23" t="n">
        <v>24</v>
      </c>
      <c r="B32" s="23" t="n">
        <f aca="false">สมมติฐาน!$B$38+A32-1</f>
        <v>2592</v>
      </c>
      <c r="C32" s="23" t="n">
        <f aca="false">สมมติฐาน!$D$7+A32-1</f>
        <v>47</v>
      </c>
      <c r="D32" s="24" t="str">
        <f aca="false">IF(C32&lt;สมมติฐาน!$D$8,"รับราชการ","รับบำนาญ")</f>
        <v>รับราชการ</v>
      </c>
      <c r="E32" s="25" t="n">
        <f aca="false">(1+สมมติฐาน!$B$39)^(A32-1)</f>
        <v>1.5768992641914</v>
      </c>
      <c r="F32" s="26" t="n">
        <f aca="false">IF(D32="รับราชการ",สมมติฐาน!$D$13*(1+สมมติฐาน!$D$15)^(A32-1)*E32,0)</f>
        <v>75990.5185908357</v>
      </c>
      <c r="G32" s="26" t="n">
        <f aca="false">F32*12</f>
        <v>911886.223090029</v>
      </c>
      <c r="H32" s="26" t="n">
        <f aca="false">IF(D32="รับราชการ",IF(A32&gt;=สมมติฐาน!$D$19,สมมติฐาน!$D$18,IF(A32&gt;=สมมติฐาน!$D$17,สมมติฐาน!$D$16,0))*12*E32,0)</f>
        <v>378455.823405936</v>
      </c>
      <c r="I32" s="26" t="n">
        <f aca="false">G32*สมมติฐาน!$D$21</f>
        <v>45594.3111545015</v>
      </c>
      <c r="J32" s="26" t="n">
        <f aca="false">IF(AND(D32="รับราชการ",A32&lt;=สมมติฐาน!$D$23),สมมติฐาน!$D$22*12*E32,0)</f>
        <v>0</v>
      </c>
      <c r="K32" s="26" t="n">
        <f aca="false">IF(AND(D32="รับราชการ",สมมติฐาน!$D$26&gt;0,A32&gt;=สมมติฐาน!$D$29,A32&lt;สมมติฐาน!$D$29+สมมติฐาน!$D$30),สมมติฐาน!$D$28*สมมติฐาน!$D$26*E32,0)</f>
        <v>78844.9632095699</v>
      </c>
      <c r="L32" s="26" t="n">
        <f aca="false">G32*สมมติฐาน!$D$20</f>
        <v>36475.4489236012</v>
      </c>
      <c r="M32" s="25" t="n">
        <f aca="false">(1+สมมติฐาน!$B$39)^(A32-1)*(1+สมมติฐาน!$B$40)^(A32-1)</f>
        <v>2.48661128940737</v>
      </c>
      <c r="N32" s="23" t="n">
        <f aca="false">A32-สมมติฐาน!$D$31</f>
        <v>16</v>
      </c>
      <c r="O32" s="23" t="n">
        <f aca="false">C32+สมมติฐาน!$D$32</f>
        <v>75</v>
      </c>
      <c r="P32" s="26" t="n">
        <f aca="false">(1+สมมติฐาน!$D$25)*สมมติฐาน!$B$37*LOOKUP(C32,สมมติฐาน!$A$59:$A$64,สมมติฐาน!$B$59:$B$64)*สมมติฐาน!$D$34*M32</f>
        <v>69625.1161034064</v>
      </c>
      <c r="Q32" s="26" t="n">
        <f aca="false">IF(AND(สมมติฐาน!$D$26&gt;0,N32&gt;=0,N32&lt;=19),สมมติฐาน!$D$26*สมมติฐาน!$B$37*LOOKUP(MAX(N32,0),สมมติฐาน!$A$59:$A$64,สมมติฐาน!$B$59:$B$64)*สมมติฐาน!$D$34*M32,0)</f>
        <v>29839.3354728885</v>
      </c>
      <c r="R32" s="26" t="n">
        <f aca="false">IF(AND(สมมติฐาน!$D$27&gt;0,O32&lt;=สมมติฐาน!$D$33),สมมติฐาน!$D$27*สมมติฐาน!$B$37*LOOKUP(O32,สมมติฐาน!$A$59:$A$64,สมมติฐาน!$B$59:$B$64)*สมมติฐาน!$D$34*M32,0)</f>
        <v>223795.016046664</v>
      </c>
      <c r="S32" s="26" t="n">
        <f aca="false">IF(D32="รับราชการ",0,$AD$6*12*(1+สมมติฐาน!$B$42)^(A32-36-1))</f>
        <v>0</v>
      </c>
      <c r="T32" s="26" t="n">
        <f aca="false">IF(C32=สมมติฐาน!$D$8,$AD$7,0)+IF(C32=65,$AD$9,0)+IF(C32=70,$AD$11,0)+IF(A32=62,$AD$12+$AD$13,0)</f>
        <v>0</v>
      </c>
      <c r="U32" s="26" t="n">
        <f aca="false">G32+H32+I32+J32+K32+L32+P32+Q32+R32+S32+T32</f>
        <v>1774516.2374066</v>
      </c>
      <c r="V32" s="26" t="n">
        <f aca="false">U32/E32</f>
        <v>1125319.97300191</v>
      </c>
      <c r="W32" s="25" t="n">
        <f aca="false">1/(1+สมมติฐาน!$B$41)^(A32-1)</f>
        <v>0.634155917697621</v>
      </c>
      <c r="X32" s="26" t="n">
        <f aca="false">V32*W32</f>
        <v>713628.320182489</v>
      </c>
    </row>
    <row r="33" customFormat="false" ht="15" hidden="false" customHeight="true" outlineLevel="0" collapsed="false">
      <c r="A33" s="20" t="n">
        <v>25</v>
      </c>
      <c r="B33" s="20" t="n">
        <f aca="false">สมมติฐาน!$B$38+A33-1</f>
        <v>2593</v>
      </c>
      <c r="C33" s="20" t="n">
        <f aca="false">สมมติฐาน!$D$7+A33-1</f>
        <v>48</v>
      </c>
      <c r="D33" s="21" t="str">
        <f aca="false">IF(C33&lt;สมมติฐาน!$D$8,"รับราชการ","รับบำนาญ")</f>
        <v>รับราชการ</v>
      </c>
      <c r="E33" s="22" t="n">
        <f aca="false">(1+สมมติฐาน!$B$39)^(A33-1)</f>
        <v>1.60843724947523</v>
      </c>
      <c r="F33" s="14" t="n">
        <f aca="false">IF(D33="รับราชการ",สมมติฐาน!$D$13*(1+สมมติฐาน!$D$15)^(A33-1)*E33,0)</f>
        <v>80330.8943099093</v>
      </c>
      <c r="G33" s="14" t="n">
        <f aca="false">F33*12</f>
        <v>963970.731718912</v>
      </c>
      <c r="H33" s="14" t="n">
        <f aca="false">IF(D33="รับราชการ",IF(A33&gt;=สมมติฐาน!$D$19,สมมติฐาน!$D$18,IF(A33&gt;=สมมติฐาน!$D$17,สมมติฐาน!$D$16,0))*12*E33,0)</f>
        <v>386024.939874054</v>
      </c>
      <c r="I33" s="14" t="n">
        <f aca="false">G33*สมมติฐาน!$D$21</f>
        <v>48198.5365859456</v>
      </c>
      <c r="J33" s="14" t="n">
        <f aca="false">IF(AND(D33="รับราชการ",A33&lt;=สมมติฐาน!$D$23),สมมติฐาน!$D$22*12*E33,0)</f>
        <v>0</v>
      </c>
      <c r="K33" s="14" t="n">
        <f aca="false">IF(AND(D33="รับราชการ",สมมติฐาน!$D$26&gt;0,A33&gt;=สมมติฐาน!$D$29,A33&lt;สมมติฐาน!$D$29+สมมติฐาน!$D$30),สมมติฐาน!$D$28*สมมติฐาน!$D$26*E33,0)</f>
        <v>80421.8624737613</v>
      </c>
      <c r="L33" s="14" t="n">
        <f aca="false">G33*สมมติฐาน!$D$20</f>
        <v>38558.8292687565</v>
      </c>
      <c r="M33" s="22" t="n">
        <f aca="false">(1+สมมติฐาน!$B$39)^(A33-1)*(1+สมมติฐาน!$B$40)^(A33-1)</f>
        <v>2.58707038549943</v>
      </c>
      <c r="N33" s="20" t="n">
        <f aca="false">A33-สมมติฐาน!$D$31</f>
        <v>17</v>
      </c>
      <c r="O33" s="20" t="n">
        <f aca="false">C33+สมมติฐาน!$D$32</f>
        <v>76</v>
      </c>
      <c r="P33" s="14" t="n">
        <f aca="false">(1+สมมติฐาน!$D$25)*สมมติฐาน!$B$37*LOOKUP(C33,สมมติฐาน!$A$59:$A$64,สมมติฐาน!$B$59:$B$64)*สมมติฐาน!$D$34*M33</f>
        <v>72437.9707939841</v>
      </c>
      <c r="Q33" s="14" t="n">
        <f aca="false">IF(AND(สมมติฐาน!$D$26&gt;0,N33&gt;=0,N33&lt;=19),สมมติฐาน!$D$26*สมมติฐาน!$B$37*LOOKUP(MAX(N33,0),สมมติฐาน!$A$59:$A$64,สมมติฐาน!$B$59:$B$64)*สมมติฐาน!$D$34*M33,0)</f>
        <v>31044.8446259932</v>
      </c>
      <c r="R33" s="14" t="n">
        <f aca="false">IF(AND(สมมติฐาน!$D$27&gt;0,O33&lt;=สมมติฐาน!$D$33),สมมติฐาน!$D$27*สมมติฐาน!$B$37*LOOKUP(O33,สมมติฐาน!$A$59:$A$64,สมมติฐาน!$B$59:$B$64)*สมมติฐาน!$D$34*M33,0)</f>
        <v>232836.334694949</v>
      </c>
      <c r="S33" s="14" t="n">
        <f aca="false">IF(D33="รับราชการ",0,$AD$6*12*(1+สมมติฐาน!$B$42)^(A33-36-1))</f>
        <v>0</v>
      </c>
      <c r="T33" s="14" t="n">
        <f aca="false">IF(C33=สมมติฐาน!$D$8,$AD$7,0)+IF(C33=65,$AD$9,0)+IF(C33=70,$AD$11,0)+IF(A33=62,$AD$12+$AD$13,0)</f>
        <v>0</v>
      </c>
      <c r="U33" s="14" t="n">
        <f aca="false">G33+H33+I33+J33+K33+L33+P33+Q33+R33+S33+T33</f>
        <v>1853494.05003636</v>
      </c>
      <c r="V33" s="14" t="n">
        <f aca="false">U33/E33</f>
        <v>1152357.0786744</v>
      </c>
      <c r="W33" s="22" t="n">
        <f aca="false">1/(1+สมมติฐาน!$B$41)^(A33-1)</f>
        <v>0.621721487938845</v>
      </c>
      <c r="X33" s="14" t="n">
        <f aca="false">V33*W33</f>
        <v>716445.157590307</v>
      </c>
    </row>
    <row r="34" customFormat="false" ht="15" hidden="false" customHeight="true" outlineLevel="0" collapsed="false">
      <c r="A34" s="23" t="n">
        <v>26</v>
      </c>
      <c r="B34" s="23" t="n">
        <f aca="false">สมมติฐาน!$B$38+A34-1</f>
        <v>2594</v>
      </c>
      <c r="C34" s="23" t="n">
        <f aca="false">สมมติฐาน!$D$7+A34-1</f>
        <v>49</v>
      </c>
      <c r="D34" s="24" t="str">
        <f aca="false">IF(C34&lt;สมมติฐาน!$D$8,"รับราชการ","รับบำนาญ")</f>
        <v>รับราชการ</v>
      </c>
      <c r="E34" s="25" t="n">
        <f aca="false">(1+สมมติฐาน!$B$39)^(A34-1)</f>
        <v>1.64060599446473</v>
      </c>
      <c r="F34" s="26" t="n">
        <f aca="false">IF(D34="รับราชการ",สมมติฐาน!$D$13*(1+สมมติฐาน!$D$15)^(A34-1)*E34,0)</f>
        <v>84919.1807122112</v>
      </c>
      <c r="G34" s="26" t="n">
        <f aca="false">F34*12</f>
        <v>1019030.16854653</v>
      </c>
      <c r="H34" s="26" t="n">
        <f aca="false">IF(D34="รับราชการ",IF(A34&gt;=สมมติฐาน!$D$19,สมมติฐาน!$D$18,IF(A34&gt;=สมมติฐาน!$D$17,สมมติฐาน!$D$16,0))*12*E34,0)</f>
        <v>393745.438671535</v>
      </c>
      <c r="I34" s="26" t="n">
        <f aca="false">G34*สมมติฐาน!$D$21</f>
        <v>50951.5084273267</v>
      </c>
      <c r="J34" s="26" t="n">
        <f aca="false">IF(AND(D34="รับราชการ",A34&lt;=สมมติฐาน!$D$23),สมมติฐาน!$D$22*12*E34,0)</f>
        <v>0</v>
      </c>
      <c r="K34" s="26" t="n">
        <f aca="false">IF(AND(D34="รับราชการ",สมมติฐาน!$D$26&gt;0,A34&gt;=สมมติฐาน!$D$29,A34&lt;สมมติฐาน!$D$29+สมมติฐาน!$D$30),สมมติฐาน!$D$28*สมมติฐาน!$D$26*E34,0)</f>
        <v>0</v>
      </c>
      <c r="L34" s="26" t="n">
        <f aca="false">G34*สมมติฐาน!$D$20</f>
        <v>40761.2067418614</v>
      </c>
      <c r="M34" s="25" t="n">
        <f aca="false">(1+สมมติฐาน!$B$39)^(A34-1)*(1+สมมติฐาน!$B$40)^(A34-1)</f>
        <v>2.69158802907361</v>
      </c>
      <c r="N34" s="23" t="n">
        <f aca="false">A34-สมมติฐาน!$D$31</f>
        <v>18</v>
      </c>
      <c r="O34" s="23" t="n">
        <f aca="false">C34+สมมติฐาน!$D$32</f>
        <v>77</v>
      </c>
      <c r="P34" s="26" t="n">
        <f aca="false">(1+สมมติฐาน!$D$25)*สมมติฐาน!$B$37*LOOKUP(C34,สมมติฐาน!$A$59:$A$64,สมมติฐาน!$B$59:$B$64)*สมมติฐาน!$D$34*M34</f>
        <v>75364.464814061</v>
      </c>
      <c r="Q34" s="26" t="n">
        <f aca="false">IF(AND(สมมติฐาน!$D$26&gt;0,N34&gt;=0,N34&lt;=19),สมมติฐาน!$D$26*สมมติฐาน!$B$37*LOOKUP(MAX(N34,0),สมมติฐาน!$A$59:$A$64,สมมติฐาน!$B$59:$B$64)*สมมติฐาน!$D$34*M34,0)</f>
        <v>32299.0563488833</v>
      </c>
      <c r="R34" s="26" t="n">
        <f aca="false">IF(AND(สมมติฐาน!$D$27&gt;0,O34&lt;=สมมติฐาน!$D$33),สมมติฐาน!$D$27*สมมติฐาน!$B$37*LOOKUP(O34,สมมติฐาน!$A$59:$A$64,สมมติฐาน!$B$59:$B$64)*สมมติฐาน!$D$34*M34,0)</f>
        <v>242242.922616625</v>
      </c>
      <c r="S34" s="26" t="n">
        <f aca="false">IF(D34="รับราชการ",0,$AD$6*12*(1+สมมติฐาน!$B$42)^(A34-36-1))</f>
        <v>0</v>
      </c>
      <c r="T34" s="26" t="n">
        <f aca="false">IF(C34=สมมติฐาน!$D$8,$AD$7,0)+IF(C34=65,$AD$9,0)+IF(C34=70,$AD$11,0)+IF(A34=62,$AD$12+$AD$13,0)</f>
        <v>0</v>
      </c>
      <c r="U34" s="26" t="n">
        <f aca="false">G34+H34+I34+J34+K34+L34+P34+Q34+R34+S34+T34</f>
        <v>1854394.76616683</v>
      </c>
      <c r="V34" s="26" t="n">
        <f aca="false">U34/E34</f>
        <v>1130310.85612475</v>
      </c>
      <c r="W34" s="25" t="n">
        <f aca="false">1/(1+สมมติฐาน!$B$41)^(A34-1)</f>
        <v>0.609530870528279</v>
      </c>
      <c r="X34" s="26" t="n">
        <f aca="false">V34*W34</f>
        <v>688959.360101283</v>
      </c>
    </row>
    <row r="35" customFormat="false" ht="15" hidden="false" customHeight="true" outlineLevel="0" collapsed="false">
      <c r="A35" s="20" t="n">
        <v>27</v>
      </c>
      <c r="B35" s="20" t="n">
        <f aca="false">สมมติฐาน!$B$38+A35-1</f>
        <v>2595</v>
      </c>
      <c r="C35" s="20" t="n">
        <f aca="false">สมมติฐาน!$D$7+A35-1</f>
        <v>50</v>
      </c>
      <c r="D35" s="21" t="str">
        <f aca="false">IF(C35&lt;สมมติฐาน!$D$8,"รับราชการ","รับบำนาญ")</f>
        <v>รับราชการ</v>
      </c>
      <c r="E35" s="22" t="n">
        <f aca="false">(1+สมมติฐาน!$B$39)^(A35-1)</f>
        <v>1.67341811435403</v>
      </c>
      <c r="F35" s="14" t="n">
        <f aca="false">IF(D35="รับราชการ",สมมติฐาน!$D$13*(1+สมมติฐาน!$D$15)^(A35-1)*E35,0)</f>
        <v>89769.5377946716</v>
      </c>
      <c r="G35" s="14" t="n">
        <f aca="false">F35*12</f>
        <v>1077234.45353606</v>
      </c>
      <c r="H35" s="14" t="n">
        <f aca="false">IF(D35="รับราชการ",IF(A35&gt;=สมมติฐาน!$D$19,สมมติฐาน!$D$18,IF(A35&gt;=สมมติฐาน!$D$17,สมมติฐาน!$D$16,0))*12*E35,0)</f>
        <v>401620.347444966</v>
      </c>
      <c r="I35" s="14" t="n">
        <f aca="false">G35*สมมติฐาน!$D$21</f>
        <v>53861.722676803</v>
      </c>
      <c r="J35" s="14" t="n">
        <f aca="false">IF(AND(D35="รับราชการ",A35&lt;=สมมติฐาน!$D$23),สมมติฐาน!$D$22*12*E35,0)</f>
        <v>0</v>
      </c>
      <c r="K35" s="14" t="n">
        <f aca="false">IF(AND(D35="รับราชการ",สมมติฐาน!$D$26&gt;0,A35&gt;=สมมติฐาน!$D$29,A35&lt;สมมติฐาน!$D$29+สมมติฐาน!$D$30),สมมติฐาน!$D$28*สมมติฐาน!$D$26*E35,0)</f>
        <v>0</v>
      </c>
      <c r="L35" s="14" t="n">
        <f aca="false">G35*สมมติฐาน!$D$20</f>
        <v>43089.3781414424</v>
      </c>
      <c r="M35" s="22" t="n">
        <f aca="false">(1+สมมติฐาน!$B$39)^(A35-1)*(1+สมมติฐาน!$B$40)^(A35-1)</f>
        <v>2.80032818544818</v>
      </c>
      <c r="N35" s="20" t="n">
        <f aca="false">A35-สมมติฐาน!$D$31</f>
        <v>19</v>
      </c>
      <c r="O35" s="20" t="n">
        <f aca="false">C35+สมมติฐาน!$D$32</f>
        <v>78</v>
      </c>
      <c r="P35" s="14" t="n">
        <f aca="false">(1+สมมติฐาน!$D$25)*สมมติฐาน!$B$37*LOOKUP(C35,สมมติฐาน!$A$59:$A$64,สมมติฐาน!$B$59:$B$64)*สมมติฐาน!$D$34*M35</f>
        <v>78409.1891925491</v>
      </c>
      <c r="Q35" s="14" t="n">
        <f aca="false">IF(AND(สมมติฐาน!$D$26&gt;0,N35&gt;=0,N35&lt;=19),สมมติฐาน!$D$26*สมมติฐาน!$B$37*LOOKUP(MAX(N35,0),สมมติฐาน!$A$59:$A$64,สมมติฐาน!$B$59:$B$64)*สมมติฐาน!$D$34*M35,0)</f>
        <v>33603.9382253782</v>
      </c>
      <c r="R35" s="14" t="n">
        <f aca="false">IF(AND(สมมติฐาน!$D$27&gt;0,O35&lt;=สมมติฐาน!$D$33),สมมติฐาน!$D$27*สมมติฐาน!$B$37*LOOKUP(O35,สมมติฐาน!$A$59:$A$64,สมมติฐาน!$B$59:$B$64)*สมมติฐาน!$D$34*M35,0)</f>
        <v>252029.536690336</v>
      </c>
      <c r="S35" s="14" t="n">
        <f aca="false">IF(D35="รับราชการ",0,$AD$6*12*(1+สมมติฐาน!$B$42)^(A35-36-1))</f>
        <v>0</v>
      </c>
      <c r="T35" s="14" t="n">
        <f aca="false">IF(C35=สมมติฐาน!$D$8,$AD$7,0)+IF(C35=65,$AD$9,0)+IF(C35=70,$AD$11,0)+IF(A35=62,$AD$12+$AD$13,0)</f>
        <v>0</v>
      </c>
      <c r="U35" s="14" t="n">
        <f aca="false">G35+H35+I35+J35+K35+L35+P35+Q35+R35+S35+T35</f>
        <v>1939848.56590753</v>
      </c>
      <c r="V35" s="14" t="n">
        <f aca="false">U35/E35</f>
        <v>1159213.31869672</v>
      </c>
      <c r="W35" s="22" t="n">
        <f aca="false">1/(1+สมมติฐาน!$B$41)^(A35-1)</f>
        <v>0.597579284831646</v>
      </c>
      <c r="X35" s="14" t="n">
        <f aca="false">V35*W35</f>
        <v>692721.865954104</v>
      </c>
    </row>
    <row r="36" customFormat="false" ht="15" hidden="false" customHeight="true" outlineLevel="0" collapsed="false">
      <c r="A36" s="23" t="n">
        <v>28</v>
      </c>
      <c r="B36" s="23" t="n">
        <f aca="false">สมมติฐาน!$B$38+A36-1</f>
        <v>2596</v>
      </c>
      <c r="C36" s="23" t="n">
        <f aca="false">สมมติฐาน!$D$7+A36-1</f>
        <v>51</v>
      </c>
      <c r="D36" s="24" t="str">
        <f aca="false">IF(C36&lt;สมมติฐาน!$D$8,"รับราชการ","รับบำนาญ")</f>
        <v>รับราชการ</v>
      </c>
      <c r="E36" s="25" t="n">
        <f aca="false">(1+สมมติฐาน!$B$39)^(A36-1)</f>
        <v>1.70688647664111</v>
      </c>
      <c r="F36" s="26" t="n">
        <f aca="false">IF(D36="รับราชการ",สมมติฐาน!$D$13*(1+สมมติฐาน!$D$15)^(A36-1)*E36,0)</f>
        <v>94896.9343354743</v>
      </c>
      <c r="G36" s="26" t="n">
        <f aca="false">F36*12</f>
        <v>1138763.21202569</v>
      </c>
      <c r="H36" s="26" t="n">
        <f aca="false">IF(D36="รับราชการ",IF(A36&gt;=สมมติฐาน!$D$19,สมมติฐาน!$D$18,IF(A36&gt;=สมมติฐาน!$D$17,สมมติฐาน!$D$16,0))*12*E36,0)</f>
        <v>409652.754393865</v>
      </c>
      <c r="I36" s="26" t="n">
        <f aca="false">G36*สมมติฐาน!$D$21</f>
        <v>56938.1606012846</v>
      </c>
      <c r="J36" s="26" t="n">
        <f aca="false">IF(AND(D36="รับราชการ",A36&lt;=สมมติฐาน!$D$23),สมมติฐาน!$D$22*12*E36,0)</f>
        <v>0</v>
      </c>
      <c r="K36" s="26" t="n">
        <f aca="false">IF(AND(D36="รับราชการ",สมมติฐาน!$D$26&gt;0,A36&gt;=สมมติฐาน!$D$29,A36&lt;สมมติฐาน!$D$29+สมมติฐาน!$D$30),สมมติฐาน!$D$28*สมมติฐาน!$D$26*E36,0)</f>
        <v>0</v>
      </c>
      <c r="L36" s="26" t="n">
        <f aca="false">G36*สมมติฐาน!$D$20</f>
        <v>45550.5284810277</v>
      </c>
      <c r="M36" s="25" t="n">
        <f aca="false">(1+สมมติฐาน!$B$39)^(A36-1)*(1+สมมติฐาน!$B$40)^(A36-1)</f>
        <v>2.91346144414029</v>
      </c>
      <c r="N36" s="23" t="n">
        <f aca="false">A36-สมมติฐาน!$D$31</f>
        <v>20</v>
      </c>
      <c r="O36" s="23" t="n">
        <f aca="false">C36+สมมติฐาน!$D$32</f>
        <v>79</v>
      </c>
      <c r="P36" s="26" t="n">
        <f aca="false">(1+สมมติฐาน!$D$25)*สมมติฐาน!$B$37*LOOKUP(C36,สมมติฐาน!$A$59:$A$64,สมมติฐาน!$B$59:$B$64)*สมมติฐาน!$D$34*M36</f>
        <v>81576.9204359281</v>
      </c>
      <c r="Q36" s="26" t="n">
        <f aca="false">IF(AND(สมมติฐาน!$D$26&gt;0,N36&gt;=0,N36&lt;=19),สมมติฐาน!$D$26*สมมติฐาน!$B$37*LOOKUP(MAX(N36,0),สมมติฐาน!$A$59:$A$64,สมมติฐาน!$B$59:$B$64)*สมมติฐาน!$D$34*M36,0)</f>
        <v>0</v>
      </c>
      <c r="R36" s="26" t="n">
        <f aca="false">IF(AND(สมมติฐาน!$D$27&gt;0,O36&lt;=สมมติฐาน!$D$33),สมมติฐาน!$D$27*สมมติฐาน!$B$37*LOOKUP(O36,สมมติฐาน!$A$59:$A$64,สมมติฐาน!$B$59:$B$64)*สมมติฐาน!$D$34*M36,0)</f>
        <v>262211.529972626</v>
      </c>
      <c r="S36" s="26" t="n">
        <f aca="false">IF(D36="รับราชการ",0,$AD$6*12*(1+สมมติฐาน!$B$42)^(A36-36-1))</f>
        <v>0</v>
      </c>
      <c r="T36" s="26" t="n">
        <f aca="false">IF(C36=สมมติฐาน!$D$8,$AD$7,0)+IF(C36=65,$AD$9,0)+IF(C36=70,$AD$11,0)+IF(A36=62,$AD$12+$AD$13,0)</f>
        <v>0</v>
      </c>
      <c r="U36" s="26" t="n">
        <f aca="false">G36+H36+I36+J36+K36+L36+P36+Q36+R36+S36+T36</f>
        <v>1994693.10591042</v>
      </c>
      <c r="V36" s="26" t="n">
        <f aca="false">U36/E36</f>
        <v>1168614.98008683</v>
      </c>
      <c r="W36" s="25" t="n">
        <f aca="false">1/(1+สมมติฐาน!$B$41)^(A36-1)</f>
        <v>0.585862043952594</v>
      </c>
      <c r="X36" s="26" t="n">
        <f aca="false">V36*W36</f>
        <v>684647.16082729</v>
      </c>
    </row>
    <row r="37" customFormat="false" ht="15" hidden="false" customHeight="true" outlineLevel="0" collapsed="false">
      <c r="A37" s="20" t="n">
        <v>29</v>
      </c>
      <c r="B37" s="20" t="n">
        <f aca="false">สมมติฐาน!$B$38+A37-1</f>
        <v>2597</v>
      </c>
      <c r="C37" s="20" t="n">
        <f aca="false">สมมติฐาน!$D$7+A37-1</f>
        <v>52</v>
      </c>
      <c r="D37" s="21" t="str">
        <f aca="false">IF(C37&lt;สมมติฐาน!$D$8,"รับราชการ","รับบำนาญ")</f>
        <v>รับราชการ</v>
      </c>
      <c r="E37" s="22" t="n">
        <f aca="false">(1+สมมติฐาน!$B$39)^(A37-1)</f>
        <v>1.74102420617393</v>
      </c>
      <c r="F37" s="14" t="n">
        <f aca="false">IF(D37="รับราชการ",สมมติฐาน!$D$13*(1+สมมติฐาน!$D$15)^(A37-1)*E37,0)</f>
        <v>100317.194089484</v>
      </c>
      <c r="G37" s="14" t="n">
        <f aca="false">F37*12</f>
        <v>1203806.32907381</v>
      </c>
      <c r="H37" s="14" t="n">
        <f aca="false">IF(D37="รับราชการ",IF(A37&gt;=สมมติฐาน!$D$19,สมมติฐาน!$D$18,IF(A37&gt;=สมมติฐาน!$D$17,สมมติฐาน!$D$16,0))*12*E37,0)</f>
        <v>417845.809481743</v>
      </c>
      <c r="I37" s="14" t="n">
        <f aca="false">G37*สมมติฐาน!$D$21</f>
        <v>60190.3164536903</v>
      </c>
      <c r="J37" s="14" t="n">
        <f aca="false">IF(AND(D37="รับราชการ",A37&lt;=สมมติฐาน!$D$23),สมมติฐาน!$D$22*12*E37,0)</f>
        <v>0</v>
      </c>
      <c r="K37" s="14" t="n">
        <f aca="false">IF(AND(D37="รับราชการ",สมมติฐาน!$D$26&gt;0,A37&gt;=สมมติฐาน!$D$29,A37&lt;สมมติฐาน!$D$29+สมมติฐาน!$D$30),สมมติฐาน!$D$28*สมมติฐาน!$D$26*E37,0)</f>
        <v>0</v>
      </c>
      <c r="L37" s="14" t="n">
        <f aca="false">G37*สมมติฐาน!$D$20</f>
        <v>48152.2531629522</v>
      </c>
      <c r="M37" s="22" t="n">
        <f aca="false">(1+สมมติฐาน!$B$39)^(A37-1)*(1+สมมติฐาน!$B$40)^(A37-1)</f>
        <v>3.03116528648356</v>
      </c>
      <c r="N37" s="20" t="n">
        <f aca="false">A37-สมมติฐาน!$D$31</f>
        <v>21</v>
      </c>
      <c r="O37" s="20" t="n">
        <f aca="false">C37+สมมติฐาน!$D$32</f>
        <v>80</v>
      </c>
      <c r="P37" s="14" t="n">
        <f aca="false">(1+สมมติฐาน!$D$25)*สมมติฐาน!$B$37*LOOKUP(C37,สมมติฐาน!$A$59:$A$64,สมมติฐาน!$B$59:$B$64)*สมมติฐาน!$D$34*M37</f>
        <v>84872.6280215396</v>
      </c>
      <c r="Q37" s="14" t="n">
        <f aca="false">IF(AND(สมมติฐาน!$D$26&gt;0,N37&gt;=0,N37&lt;=19),สมมติฐาน!$D$26*สมมติฐาน!$B$37*LOOKUP(MAX(N37,0),สมมติฐาน!$A$59:$A$64,สมมติฐาน!$B$59:$B$64)*สมมติฐาน!$D$34*M37,0)</f>
        <v>0</v>
      </c>
      <c r="R37" s="14" t="n">
        <f aca="false">IF(AND(สมมติฐาน!$D$27&gt;0,O37&lt;=สมมติฐาน!$D$33),สมมติฐาน!$D$27*สมมติฐาน!$B$37*LOOKUP(O37,สมมติฐาน!$A$59:$A$64,สมมติฐาน!$B$59:$B$64)*สมมติฐาน!$D$34*M37,0)</f>
        <v>363739.834378027</v>
      </c>
      <c r="S37" s="14" t="n">
        <f aca="false">IF(D37="รับราชการ",0,$AD$6*12*(1+สมมติฐาน!$B$42)^(A37-36-1))</f>
        <v>0</v>
      </c>
      <c r="T37" s="14" t="n">
        <f aca="false">IF(C37=สมมติฐาน!$D$8,$AD$7,0)+IF(C37=65,$AD$9,0)+IF(C37=70,$AD$11,0)+IF(A37=62,$AD$12+$AD$13,0)</f>
        <v>0</v>
      </c>
      <c r="U37" s="14" t="n">
        <f aca="false">G37+H37+I37+J37+K37+L37+P37+Q37+R37+S37+T37</f>
        <v>2178607.17057176</v>
      </c>
      <c r="V37" s="14" t="n">
        <f aca="false">U37/E37</f>
        <v>1251336.51953034</v>
      </c>
      <c r="W37" s="22" t="n">
        <f aca="false">1/(1+สมมติฐาน!$B$41)^(A37-1)</f>
        <v>0.5743745528947</v>
      </c>
      <c r="X37" s="14" t="n">
        <f aca="false">V37*W37</f>
        <v>718735.853926049</v>
      </c>
    </row>
    <row r="38" customFormat="false" ht="15" hidden="false" customHeight="true" outlineLevel="0" collapsed="false">
      <c r="A38" s="23" t="n">
        <v>30</v>
      </c>
      <c r="B38" s="23" t="n">
        <f aca="false">สมมติฐาน!$B$38+A38-1</f>
        <v>2598</v>
      </c>
      <c r="C38" s="23" t="n">
        <f aca="false">สมมติฐาน!$D$7+A38-1</f>
        <v>53</v>
      </c>
      <c r="D38" s="24" t="str">
        <f aca="false">IF(C38&lt;สมมติฐาน!$D$8,"รับราชการ","รับบำนาญ")</f>
        <v>รับราชการ</v>
      </c>
      <c r="E38" s="25" t="n">
        <f aca="false">(1+สมมติฐาน!$B$39)^(A38-1)</f>
        <v>1.77584469029741</v>
      </c>
      <c r="F38" s="26" t="n">
        <f aca="false">IF(D38="รับราชการ",สมมติฐาน!$D$13*(1+สมมติฐาน!$D$15)^(A38-1)*E38,0)</f>
        <v>106047.044622233</v>
      </c>
      <c r="G38" s="26" t="n">
        <f aca="false">F38*12</f>
        <v>1272564.5354668</v>
      </c>
      <c r="H38" s="26" t="n">
        <f aca="false">IF(D38="รับราชการ",IF(A38&gt;=สมมติฐาน!$D$19,สมมติฐาน!$D$18,IF(A38&gt;=สมมติฐาน!$D$17,สมมติฐาน!$D$16,0))*12*E38,0)</f>
        <v>426202.725671378</v>
      </c>
      <c r="I38" s="26" t="n">
        <f aca="false">G38*สมมติฐาน!$D$21</f>
        <v>63628.2267733398</v>
      </c>
      <c r="J38" s="26" t="n">
        <f aca="false">IF(AND(D38="รับราชการ",A38&lt;=สมมติฐาน!$D$23),สมมติฐาน!$D$22*12*E38,0)</f>
        <v>0</v>
      </c>
      <c r="K38" s="26" t="n">
        <f aca="false">IF(AND(D38="รับราชการ",สมมติฐาน!$D$26&gt;0,A38&gt;=สมมติฐาน!$D$29,A38&lt;สมมติฐาน!$D$29+สมมติฐาน!$D$30),สมมติฐาน!$D$28*สมมติฐาน!$D$26*E38,0)</f>
        <v>0</v>
      </c>
      <c r="L38" s="26" t="n">
        <f aca="false">G38*สมมติฐาน!$D$20</f>
        <v>50902.5814186718</v>
      </c>
      <c r="M38" s="25" t="n">
        <f aca="false">(1+สมมติฐาน!$B$39)^(A38-1)*(1+สมมติฐาน!$B$40)^(A38-1)</f>
        <v>3.15362436405749</v>
      </c>
      <c r="N38" s="23" t="n">
        <f aca="false">A38-สมมติฐาน!$D$31</f>
        <v>22</v>
      </c>
      <c r="O38" s="23" t="n">
        <f aca="false">C38+สมมติฐาน!$D$32</f>
        <v>81</v>
      </c>
      <c r="P38" s="26" t="n">
        <f aca="false">(1+สมมติฐาน!$D$25)*สมมติฐาน!$B$37*LOOKUP(C38,สมมติฐาน!$A$59:$A$64,สมมติฐาน!$B$59:$B$64)*สมมติฐาน!$D$34*M38</f>
        <v>88301.4821936098</v>
      </c>
      <c r="Q38" s="26" t="n">
        <f aca="false">IF(AND(สมมติฐาน!$D$26&gt;0,N38&gt;=0,N38&lt;=19),สมมติฐาน!$D$26*สมมติฐาน!$B$37*LOOKUP(MAX(N38,0),สมมติฐาน!$A$59:$A$64,สมมติฐาน!$B$59:$B$64)*สมมติฐาน!$D$34*M38,0)</f>
        <v>0</v>
      </c>
      <c r="R38" s="26" t="n">
        <f aca="false">IF(AND(สมมติฐาน!$D$27&gt;0,O38&lt;=สมมติฐาน!$D$33),สมมติฐาน!$D$27*สมมติฐาน!$B$37*LOOKUP(O38,สมมติฐาน!$A$59:$A$64,สมมติฐาน!$B$59:$B$64)*สมมติฐาน!$D$34*M38,0)</f>
        <v>378434.923686899</v>
      </c>
      <c r="S38" s="26" t="n">
        <f aca="false">IF(D38="รับราชการ",0,$AD$6*12*(1+สมมติฐาน!$B$42)^(A38-36-1))</f>
        <v>0</v>
      </c>
      <c r="T38" s="26" t="n">
        <f aca="false">IF(C38=สมมติฐาน!$D$8,$AD$7,0)+IF(C38=65,$AD$9,0)+IF(C38=70,$AD$11,0)+IF(A38=62,$AD$12+$AD$13,0)</f>
        <v>0</v>
      </c>
      <c r="U38" s="26" t="n">
        <f aca="false">G38+H38+I38+J38+K38+L38+P38+Q38+R38+S38+T38</f>
        <v>2280034.47521069</v>
      </c>
      <c r="V38" s="26" t="n">
        <f aca="false">U38/E38</f>
        <v>1283915.4728271</v>
      </c>
      <c r="W38" s="25" t="n">
        <f aca="false">1/(1+สมมติฐาน!$B$41)^(A38-1)</f>
        <v>0.56311230675951</v>
      </c>
      <c r="X38" s="26" t="n">
        <f aca="false">V38*W38</f>
        <v>722988.603587896</v>
      </c>
    </row>
    <row r="39" customFormat="false" ht="15" hidden="false" customHeight="true" outlineLevel="0" collapsed="false">
      <c r="A39" s="20" t="n">
        <v>31</v>
      </c>
      <c r="B39" s="20" t="n">
        <f aca="false">สมมติฐาน!$B$38+A39-1</f>
        <v>2599</v>
      </c>
      <c r="C39" s="20" t="n">
        <f aca="false">สมมติฐาน!$D$7+A39-1</f>
        <v>54</v>
      </c>
      <c r="D39" s="21" t="str">
        <f aca="false">IF(C39&lt;สมมติฐาน!$D$8,"รับราชการ","รับบำนาญ")</f>
        <v>รับราชการ</v>
      </c>
      <c r="E39" s="22" t="n">
        <f aca="false">(1+สมมติฐาน!$B$39)^(A39-1)</f>
        <v>1.81136158410335</v>
      </c>
      <c r="F39" s="14" t="n">
        <f aca="false">IF(D39="รับราชการ",สมมติฐาน!$D$13*(1+สมมติฐาน!$D$15)^(A39-1)*E39,0)</f>
        <v>112104.168933178</v>
      </c>
      <c r="G39" s="14" t="n">
        <f aca="false">F39*12</f>
        <v>1345250.02719813</v>
      </c>
      <c r="H39" s="14" t="n">
        <f aca="false">IF(D39="รับราชการ",IF(A39&gt;=สมมติฐาน!$D$19,สมมติฐาน!$D$18,IF(A39&gt;=สมมติฐาน!$D$17,สมมติฐาน!$D$16,0))*12*E39,0)</f>
        <v>434726.780184805</v>
      </c>
      <c r="I39" s="14" t="n">
        <f aca="false">G39*สมมติฐาน!$D$21</f>
        <v>67262.5013599066</v>
      </c>
      <c r="J39" s="14" t="n">
        <f aca="false">IF(AND(D39="รับราชการ",A39&lt;=สมมติฐาน!$D$23),สมมติฐาน!$D$22*12*E39,0)</f>
        <v>0</v>
      </c>
      <c r="K39" s="14" t="n">
        <f aca="false">IF(AND(D39="รับราชการ",สมมติฐาน!$D$26&gt;0,A39&gt;=สมมติฐาน!$D$29,A39&lt;สมมติฐาน!$D$29+สมมติฐาน!$D$30),สมมติฐาน!$D$28*สมมติฐาน!$D$26*E39,0)</f>
        <v>0</v>
      </c>
      <c r="L39" s="14" t="n">
        <f aca="false">G39*สมมติฐาน!$D$20</f>
        <v>53810.0010879253</v>
      </c>
      <c r="M39" s="22" t="n">
        <f aca="false">(1+สมมติฐาน!$B$39)^(A39-1)*(1+สมมติฐาน!$B$40)^(A39-1)</f>
        <v>3.28103078836542</v>
      </c>
      <c r="N39" s="20" t="n">
        <f aca="false">A39-สมมติฐาน!$D$31</f>
        <v>23</v>
      </c>
      <c r="O39" s="20" t="n">
        <f aca="false">C39+สมมติฐาน!$D$32</f>
        <v>82</v>
      </c>
      <c r="P39" s="14" t="n">
        <f aca="false">(1+สมมติฐาน!$D$25)*สมมติฐาน!$B$37*LOOKUP(C39,สมมติฐาน!$A$59:$A$64,สมมติฐาน!$B$59:$B$64)*สมมติฐาน!$D$34*M39</f>
        <v>91868.8620742316</v>
      </c>
      <c r="Q39" s="14" t="n">
        <f aca="false">IF(AND(สมมติฐาน!$D$26&gt;0,N39&gt;=0,N39&lt;=19),สมมติฐาน!$D$26*สมมติฐาน!$B$37*LOOKUP(MAX(N39,0),สมมติฐาน!$A$59:$A$64,สมมติฐาน!$B$59:$B$64)*สมมติฐาน!$D$34*M39,0)</f>
        <v>0</v>
      </c>
      <c r="R39" s="14" t="n">
        <f aca="false">IF(AND(สมมติฐาน!$D$27&gt;0,O39&lt;=สมมติฐาน!$D$33),สมมติฐาน!$D$27*สมมติฐาน!$B$37*LOOKUP(O39,สมมติฐาน!$A$59:$A$64,สมมติฐาน!$B$59:$B$64)*สมมติฐาน!$D$34*M39,0)</f>
        <v>393723.69460385</v>
      </c>
      <c r="S39" s="14" t="n">
        <f aca="false">IF(D39="รับราชการ",0,$AD$6*12*(1+สมมติฐาน!$B$42)^(A39-36-1))</f>
        <v>0</v>
      </c>
      <c r="T39" s="14" t="n">
        <f aca="false">IF(C39=สมมติฐาน!$D$8,$AD$7,0)+IF(C39=65,$AD$9,0)+IF(C39=70,$AD$11,0)+IF(A39=62,$AD$12+$AD$13,0)</f>
        <v>0</v>
      </c>
      <c r="U39" s="14" t="n">
        <f aca="false">G39+H39+I39+J39+K39+L39+P39+Q39+R39+S39+T39</f>
        <v>2386641.86650885</v>
      </c>
      <c r="V39" s="14" t="n">
        <f aca="false">U39/E39</f>
        <v>1317595.49692022</v>
      </c>
      <c r="W39" s="22" t="n">
        <f aca="false">1/(1+สมมติฐาน!$B$41)^(A39-1)</f>
        <v>0.552070888979912</v>
      </c>
      <c r="X39" s="14" t="n">
        <f aca="false">V39*W39</f>
        <v>727406.117300673</v>
      </c>
    </row>
    <row r="40" customFormat="false" ht="15" hidden="false" customHeight="true" outlineLevel="0" collapsed="false">
      <c r="A40" s="23" t="n">
        <v>32</v>
      </c>
      <c r="B40" s="23" t="n">
        <f aca="false">สมมติฐาน!$B$38+A40-1</f>
        <v>2600</v>
      </c>
      <c r="C40" s="23" t="n">
        <f aca="false">สมมติฐาน!$D$7+A40-1</f>
        <v>55</v>
      </c>
      <c r="D40" s="24" t="str">
        <f aca="false">IF(C40&lt;สมมติฐาน!$D$8,"รับราชการ","รับบำนาญ")</f>
        <v>รับราชการ</v>
      </c>
      <c r="E40" s="25" t="n">
        <f aca="false">(1+สมมติฐาน!$B$39)^(A40-1)</f>
        <v>1.84758881578542</v>
      </c>
      <c r="F40" s="26" t="n">
        <f aca="false">IF(D40="รับราชการ",สมมติฐาน!$D$13*(1+สมมติฐาน!$D$15)^(A40-1)*E40,0)</f>
        <v>118507.260027534</v>
      </c>
      <c r="G40" s="26" t="n">
        <f aca="false">F40*12</f>
        <v>1422087.12033041</v>
      </c>
      <c r="H40" s="26" t="n">
        <f aca="false">IF(D40="รับราชการ",IF(A40&gt;=สมมติฐาน!$D$19,สมมติฐาน!$D$18,IF(A40&gt;=สมมติฐาน!$D$17,สมมติฐาน!$D$16,0))*12*E40,0)</f>
        <v>443421.315788501</v>
      </c>
      <c r="I40" s="26" t="n">
        <f aca="false">G40*สมมติฐาน!$D$21</f>
        <v>71104.3560165203</v>
      </c>
      <c r="J40" s="26" t="n">
        <f aca="false">IF(AND(D40="รับราชการ",A40&lt;=สมมติฐาน!$D$23),สมมติฐาน!$D$22*12*E40,0)</f>
        <v>0</v>
      </c>
      <c r="K40" s="26" t="n">
        <f aca="false">IF(AND(D40="รับราชการ",สมมติฐาน!$D$26&gt;0,A40&gt;=สมมติฐาน!$D$29,A40&lt;สมมติฐาน!$D$29+สมมติฐาน!$D$30),สมมติฐาน!$D$28*สมมติฐาน!$D$26*E40,0)</f>
        <v>0</v>
      </c>
      <c r="L40" s="26" t="n">
        <f aca="false">G40*สมมติฐาน!$D$20</f>
        <v>56883.4848132163</v>
      </c>
      <c r="M40" s="25" t="n">
        <f aca="false">(1+สมมติฐาน!$B$39)^(A40-1)*(1+สมมติฐาน!$B$40)^(A40-1)</f>
        <v>3.41358443221538</v>
      </c>
      <c r="N40" s="23" t="n">
        <f aca="false">A40-สมมติฐาน!$D$31</f>
        <v>24</v>
      </c>
      <c r="O40" s="23" t="n">
        <f aca="false">C40+สมมติฐาน!$D$32</f>
        <v>83</v>
      </c>
      <c r="P40" s="26" t="n">
        <f aca="false">(1+สมมติฐาน!$D$25)*สมมติฐาน!$B$37*LOOKUP(C40,สมมติฐาน!$A$59:$A$64,สมมติฐาน!$B$59:$B$64)*สมมติฐาน!$D$34*M40</f>
        <v>95580.3641020306</v>
      </c>
      <c r="Q40" s="26" t="n">
        <f aca="false">IF(AND(สมมติฐาน!$D$26&gt;0,N40&gt;=0,N40&lt;=19),สมมติฐาน!$D$26*สมมติฐาน!$B$37*LOOKUP(MAX(N40,0),สมมติฐาน!$A$59:$A$64,สมมติฐาน!$B$59:$B$64)*สมมติฐาน!$D$34*M40,0)</f>
        <v>0</v>
      </c>
      <c r="R40" s="26" t="n">
        <f aca="false">IF(AND(สมมติฐาน!$D$27&gt;0,O40&lt;=สมมติฐาน!$D$33),สมมติฐาน!$D$27*สมมติฐาน!$B$37*LOOKUP(O40,สมมติฐาน!$A$59:$A$64,สมมติฐาน!$B$59:$B$64)*สมมติฐาน!$D$34*M40,0)</f>
        <v>0</v>
      </c>
      <c r="S40" s="26" t="n">
        <f aca="false">IF(D40="รับราชการ",0,$AD$6*12*(1+สมมติฐาน!$B$42)^(A40-36-1))</f>
        <v>0</v>
      </c>
      <c r="T40" s="26" t="n">
        <f aca="false">IF(C40=สมมติฐาน!$D$8,$AD$7,0)+IF(C40=65,$AD$9,0)+IF(C40=70,$AD$11,0)+IF(A40=62,$AD$12+$AD$13,0)</f>
        <v>0</v>
      </c>
      <c r="U40" s="26" t="n">
        <f aca="false">G40+H40+I40+J40+K40+L40+P40+Q40+R40+S40+T40</f>
        <v>2089076.64105068</v>
      </c>
      <c r="V40" s="26" t="n">
        <f aca="false">U40/E40</f>
        <v>1130704.31212943</v>
      </c>
      <c r="W40" s="25" t="n">
        <f aca="false">1/(1+สมมติฐาน!$B$41)^(A40-1)</f>
        <v>0.541245969588149</v>
      </c>
      <c r="X40" s="26" t="n">
        <f aca="false">V40*W40</f>
        <v>611989.151735992</v>
      </c>
    </row>
    <row r="41" customFormat="false" ht="15" hidden="false" customHeight="true" outlineLevel="0" collapsed="false">
      <c r="A41" s="20" t="n">
        <v>33</v>
      </c>
      <c r="B41" s="20" t="n">
        <f aca="false">สมมติฐาน!$B$38+A41-1</f>
        <v>2601</v>
      </c>
      <c r="C41" s="20" t="n">
        <f aca="false">สมมติฐาน!$D$7+A41-1</f>
        <v>56</v>
      </c>
      <c r="D41" s="21" t="str">
        <f aca="false">IF(C41&lt;สมมติฐาน!$D$8,"รับราชการ","รับบำนาญ")</f>
        <v>รับราชการ</v>
      </c>
      <c r="E41" s="22" t="n">
        <f aca="false">(1+สมมติฐาน!$B$39)^(A41-1)</f>
        <v>1.88454059210113</v>
      </c>
      <c r="F41" s="14" t="n">
        <f aca="false">IF(D41="รับราชการ",สมมติฐาน!$D$13*(1+สมมติฐาน!$D$15)^(A41-1)*E41,0)</f>
        <v>125276.078605112</v>
      </c>
      <c r="G41" s="14" t="n">
        <f aca="false">F41*12</f>
        <v>1503312.94326134</v>
      </c>
      <c r="H41" s="14" t="n">
        <f aca="false">IF(D41="รับราชการ",IF(A41&gt;=สมมติฐาน!$D$19,สมมติฐาน!$D$18,IF(A41&gt;=สมมติฐาน!$D$17,สมมติฐาน!$D$16,0))*12*E41,0)</f>
        <v>452289.742104271</v>
      </c>
      <c r="I41" s="14" t="n">
        <f aca="false">G41*สมมติฐาน!$D$21</f>
        <v>75165.6471630672</v>
      </c>
      <c r="J41" s="14" t="n">
        <f aca="false">IF(AND(D41="รับราชการ",A41&lt;=สมมติฐาน!$D$23),สมมติฐาน!$D$22*12*E41,0)</f>
        <v>0</v>
      </c>
      <c r="K41" s="14" t="n">
        <f aca="false">IF(AND(D41="รับราชการ",สมมติฐาน!$D$26&gt;0,A41&gt;=สมมติฐาน!$D$29,A41&lt;สมมติฐาน!$D$29+สมมติฐาน!$D$30),สมมติฐาน!$D$28*สมมติฐาน!$D$26*E41,0)</f>
        <v>0</v>
      </c>
      <c r="L41" s="14" t="n">
        <f aca="false">G41*สมมติฐาน!$D$20</f>
        <v>60132.5177304538</v>
      </c>
      <c r="M41" s="22" t="n">
        <f aca="false">(1+สมมติฐาน!$B$39)^(A41-1)*(1+สมมติฐาน!$B$40)^(A41-1)</f>
        <v>3.55149324327688</v>
      </c>
      <c r="N41" s="20" t="n">
        <f aca="false">A41-สมมติฐาน!$D$31</f>
        <v>25</v>
      </c>
      <c r="O41" s="20" t="n">
        <f aca="false">C41+สมมติฐาน!$D$32</f>
        <v>84</v>
      </c>
      <c r="P41" s="14" t="n">
        <f aca="false">(1+สมมติฐาน!$D$25)*สมมติฐาน!$B$37*LOOKUP(C41,สมมติฐาน!$A$59:$A$64,สมมติฐาน!$B$59:$B$64)*สมมติฐาน!$D$34*M41</f>
        <v>99441.8108117526</v>
      </c>
      <c r="Q41" s="14" t="n">
        <f aca="false">IF(AND(สมมติฐาน!$D$26&gt;0,N41&gt;=0,N41&lt;=19),สมมติฐาน!$D$26*สมมติฐาน!$B$37*LOOKUP(MAX(N41,0),สมมติฐาน!$A$59:$A$64,สมมติฐาน!$B$59:$B$64)*สมมติฐาน!$D$34*M41,0)</f>
        <v>0</v>
      </c>
      <c r="R41" s="14" t="n">
        <f aca="false">IF(AND(สมมติฐาน!$D$27&gt;0,O41&lt;=สมมติฐาน!$D$33),สมมติฐาน!$D$27*สมมติฐาน!$B$37*LOOKUP(O41,สมมติฐาน!$A$59:$A$64,สมมติฐาน!$B$59:$B$64)*สมมติฐาน!$D$34*M41,0)</f>
        <v>0</v>
      </c>
      <c r="S41" s="14" t="n">
        <f aca="false">IF(D41="รับราชการ",0,$AD$6*12*(1+สมมติฐาน!$B$42)^(A41-36-1))</f>
        <v>0</v>
      </c>
      <c r="T41" s="14" t="n">
        <f aca="false">IF(C41=สมมติฐาน!$D$8,$AD$7,0)+IF(C41=65,$AD$9,0)+IF(C41=70,$AD$11,0)+IF(A41=62,$AD$12+$AD$13,0)</f>
        <v>0</v>
      </c>
      <c r="U41" s="14" t="n">
        <f aca="false">G41+H41+I41+J41+K41+L41+P41+Q41+R41+S41+T41</f>
        <v>2190342.66107089</v>
      </c>
      <c r="V41" s="14" t="n">
        <f aca="false">U41/E41</f>
        <v>1162268.76208</v>
      </c>
      <c r="W41" s="22" t="n">
        <f aca="false">1/(1+สมมติฐาน!$B$41)^(A41-1)</f>
        <v>0.530633303517793</v>
      </c>
      <c r="X41" s="14" t="n">
        <f aca="false">V41*W41</f>
        <v>616738.512798046</v>
      </c>
    </row>
    <row r="42" customFormat="false" ht="15" hidden="false" customHeight="true" outlineLevel="0" collapsed="false">
      <c r="A42" s="23" t="n">
        <v>34</v>
      </c>
      <c r="B42" s="23" t="n">
        <f aca="false">สมมติฐาน!$B$38+A42-1</f>
        <v>2602</v>
      </c>
      <c r="C42" s="23" t="n">
        <f aca="false">สมมติฐาน!$D$7+A42-1</f>
        <v>57</v>
      </c>
      <c r="D42" s="24" t="str">
        <f aca="false">IF(C42&lt;สมมติฐาน!$D$8,"รับราชการ","รับบำนาญ")</f>
        <v>รับราชการ</v>
      </c>
      <c r="E42" s="25" t="n">
        <f aca="false">(1+สมมติฐาน!$B$39)^(A42-1)</f>
        <v>1.92223140394315</v>
      </c>
      <c r="F42" s="26" t="n">
        <f aca="false">IF(D42="รับราชการ",สมมติฐาน!$D$13*(1+สมมติฐาน!$D$15)^(A42-1)*E42,0)</f>
        <v>132431.514044185</v>
      </c>
      <c r="G42" s="26" t="n">
        <f aca="false">F42*12</f>
        <v>1589178.16853022</v>
      </c>
      <c r="H42" s="26" t="n">
        <f aca="false">IF(D42="รับราชการ",IF(A42&gt;=สมมติฐาน!$D$19,สมมติฐาน!$D$18,IF(A42&gt;=สมมติฐาน!$D$17,สมมติฐาน!$D$16,0))*12*E42,0)</f>
        <v>461335.536946357</v>
      </c>
      <c r="I42" s="26" t="n">
        <f aca="false">G42*สมมติฐาน!$D$21</f>
        <v>79458.9084265109</v>
      </c>
      <c r="J42" s="26" t="n">
        <f aca="false">IF(AND(D42="รับราชการ",A42&lt;=สมมติฐาน!$D$23),สมมติฐาน!$D$22*12*E42,0)</f>
        <v>0</v>
      </c>
      <c r="K42" s="26" t="n">
        <f aca="false">IF(AND(D42="รับราชการ",สมมติฐาน!$D$26&gt;0,A42&gt;=สมมติฐาน!$D$29,A42&lt;สมมติฐาน!$D$29+สมมติฐาน!$D$30),สมมติฐาน!$D$28*สมมติฐาน!$D$26*E42,0)</f>
        <v>0</v>
      </c>
      <c r="L42" s="26" t="n">
        <f aca="false">G42*สมมติฐาน!$D$20</f>
        <v>63567.1267412087</v>
      </c>
      <c r="M42" s="25" t="n">
        <f aca="false">(1+สมมติฐาน!$B$39)^(A42-1)*(1+สมมติฐาน!$B$40)^(A42-1)</f>
        <v>3.69497357030527</v>
      </c>
      <c r="N42" s="23" t="n">
        <f aca="false">A42-สมมติฐาน!$D$31</f>
        <v>26</v>
      </c>
      <c r="O42" s="23" t="n">
        <f aca="false">C42+สมมติฐาน!$D$32</f>
        <v>85</v>
      </c>
      <c r="P42" s="26" t="n">
        <f aca="false">(1+สมมติฐาน!$D$25)*สมมติฐาน!$B$37*LOOKUP(C42,สมมติฐาน!$A$59:$A$64,สมมติฐาน!$B$59:$B$64)*สมมติฐาน!$D$34*M42</f>
        <v>103459.259968547</v>
      </c>
      <c r="Q42" s="26" t="n">
        <f aca="false">IF(AND(สมมติฐาน!$D$26&gt;0,N42&gt;=0,N42&lt;=19),สมมติฐาน!$D$26*สมมติฐาน!$B$37*LOOKUP(MAX(N42,0),สมมติฐาน!$A$59:$A$64,สมมติฐาน!$B$59:$B$64)*สมมติฐาน!$D$34*M42,0)</f>
        <v>0</v>
      </c>
      <c r="R42" s="26" t="n">
        <f aca="false">IF(AND(สมมติฐาน!$D$27&gt;0,O42&lt;=สมมติฐาน!$D$33),สมมติฐาน!$D$27*สมมติฐาน!$B$37*LOOKUP(O42,สมมติฐาน!$A$59:$A$64,สมมติฐาน!$B$59:$B$64)*สมมติฐาน!$D$34*M42,0)</f>
        <v>0</v>
      </c>
      <c r="S42" s="26" t="n">
        <f aca="false">IF(D42="รับราชการ",0,$AD$6*12*(1+สมมติฐาน!$B$42)^(A42-36-1))</f>
        <v>0</v>
      </c>
      <c r="T42" s="26" t="n">
        <f aca="false">IF(C42=สมมติฐาน!$D$8,$AD$7,0)+IF(C42=65,$AD$9,0)+IF(C42=70,$AD$11,0)+IF(A42=62,$AD$12+$AD$13,0)</f>
        <v>0</v>
      </c>
      <c r="U42" s="26" t="n">
        <f aca="false">G42+H42+I42+J42+K42+L42+P42+Q42+R42+S42+T42</f>
        <v>2296999.00061284</v>
      </c>
      <c r="V42" s="26" t="n">
        <f aca="false">U42/E42</f>
        <v>1194964.870463</v>
      </c>
      <c r="W42" s="25" t="n">
        <f aca="false">1/(1+สมมติฐาน!$B$41)^(A42-1)</f>
        <v>0.520228728939013</v>
      </c>
      <c r="X42" s="26" t="n">
        <f aca="false">V42*W42</f>
        <v>621655.055687739</v>
      </c>
    </row>
    <row r="43" customFormat="false" ht="15" hidden="false" customHeight="true" outlineLevel="0" collapsed="false">
      <c r="A43" s="20" t="n">
        <v>35</v>
      </c>
      <c r="B43" s="20" t="n">
        <f aca="false">สมมติฐาน!$B$38+A43-1</f>
        <v>2603</v>
      </c>
      <c r="C43" s="20" t="n">
        <f aca="false">สมมติฐาน!$D$7+A43-1</f>
        <v>58</v>
      </c>
      <c r="D43" s="21" t="str">
        <f aca="false">IF(C43&lt;สมมติฐาน!$D$8,"รับราชการ","รับบำนาญ")</f>
        <v>รับราชการ</v>
      </c>
      <c r="E43" s="22" t="n">
        <f aca="false">(1+สมมติฐาน!$B$39)^(A43-1)</f>
        <v>1.96067603202202</v>
      </c>
      <c r="F43" s="14" t="n">
        <f aca="false">IF(D43="รับราชการ",สมมติฐาน!$D$13*(1+สมมติฐาน!$D$15)^(A43-1)*E43,0)</f>
        <v>139995.64886859</v>
      </c>
      <c r="G43" s="14" t="n">
        <f aca="false">F43*12</f>
        <v>1679947.78642308</v>
      </c>
      <c r="H43" s="14" t="n">
        <f aca="false">IF(D43="รับราชการ",IF(A43&gt;=สมมติฐาน!$D$19,สมมติฐาน!$D$18,IF(A43&gt;=สมมติฐาน!$D$17,สมมติฐาน!$D$16,0))*12*E43,0)</f>
        <v>470562.247685284</v>
      </c>
      <c r="I43" s="14" t="n">
        <f aca="false">G43*สมมติฐาน!$D$21</f>
        <v>83997.3893211539</v>
      </c>
      <c r="J43" s="14" t="n">
        <f aca="false">IF(AND(D43="รับราชการ",A43&lt;=สมมติฐาน!$D$23),สมมติฐาน!$D$22*12*E43,0)</f>
        <v>0</v>
      </c>
      <c r="K43" s="14" t="n">
        <f aca="false">IF(AND(D43="รับราชการ",สมมติฐาน!$D$26&gt;0,A43&gt;=สมมติฐาน!$D$29,A43&lt;สมมติฐาน!$D$29+สมมติฐาน!$D$30),สมมติฐาน!$D$28*สมมติฐาน!$D$26*E43,0)</f>
        <v>0</v>
      </c>
      <c r="L43" s="14" t="n">
        <f aca="false">G43*สมมติฐาน!$D$20</f>
        <v>67197.9114569231</v>
      </c>
      <c r="M43" s="22" t="n">
        <f aca="false">(1+สมมติฐาน!$B$39)^(A43-1)*(1+สมมติฐาน!$B$40)^(A43-1)</f>
        <v>3.8442505025456</v>
      </c>
      <c r="N43" s="20" t="n">
        <f aca="false">A43-สมมติฐาน!$D$31</f>
        <v>27</v>
      </c>
      <c r="O43" s="20" t="n">
        <f aca="false">C43+สมมติฐาน!$D$32</f>
        <v>86</v>
      </c>
      <c r="P43" s="14" t="n">
        <f aca="false">(1+สมมติฐาน!$D$25)*สมมติฐาน!$B$37*LOOKUP(C43,สมมติฐาน!$A$59:$A$64,สมมติฐาน!$B$59:$B$64)*สมมติฐาน!$D$34*M43</f>
        <v>107639.014071277</v>
      </c>
      <c r="Q43" s="14" t="n">
        <f aca="false">IF(AND(สมมติฐาน!$D$26&gt;0,N43&gt;=0,N43&lt;=19),สมมติฐาน!$D$26*สมมติฐาน!$B$37*LOOKUP(MAX(N43,0),สมมติฐาน!$A$59:$A$64,สมมติฐาน!$B$59:$B$64)*สมมติฐาน!$D$34*M43,0)</f>
        <v>0</v>
      </c>
      <c r="R43" s="14" t="n">
        <f aca="false">IF(AND(สมมติฐาน!$D$27&gt;0,O43&lt;=สมมติฐาน!$D$33),สมมติฐาน!$D$27*สมมติฐาน!$B$37*LOOKUP(O43,สมมติฐาน!$A$59:$A$64,สมมติฐาน!$B$59:$B$64)*สมมติฐาน!$D$34*M43,0)</f>
        <v>0</v>
      </c>
      <c r="S43" s="14" t="n">
        <f aca="false">IF(D43="รับราชการ",0,$AD$6*12*(1+สมมติฐาน!$B$42)^(A43-36-1))</f>
        <v>0</v>
      </c>
      <c r="T43" s="14" t="n">
        <f aca="false">IF(C43=สมมติฐาน!$D$8,$AD$7,0)+IF(C43=65,$AD$9,0)+IF(C43=70,$AD$11,0)+IF(A43=62,$AD$12+$AD$13,0)</f>
        <v>0</v>
      </c>
      <c r="U43" s="14" t="n">
        <f aca="false">G43+H43+I43+J43+K43+L43+P43+Q43+R43+S43+T43</f>
        <v>2409344.34895771</v>
      </c>
      <c r="V43" s="14" t="n">
        <f aca="false">U43/E43</f>
        <v>1228833.47866144</v>
      </c>
      <c r="W43" s="22" t="n">
        <f aca="false">1/(1+สมมติฐาน!$B$41)^(A43-1)</f>
        <v>0.510028165626483</v>
      </c>
      <c r="X43" s="14" t="n">
        <f aca="false">V43*W43</f>
        <v>626739.684982102</v>
      </c>
    </row>
    <row r="44" customFormat="false" ht="15" hidden="false" customHeight="true" outlineLevel="0" collapsed="false">
      <c r="A44" s="23" t="n">
        <v>36</v>
      </c>
      <c r="B44" s="23" t="n">
        <f aca="false">สมมติฐาน!$B$38+A44-1</f>
        <v>2604</v>
      </c>
      <c r="C44" s="23" t="n">
        <f aca="false">สมมติฐาน!$D$7+A44-1</f>
        <v>59</v>
      </c>
      <c r="D44" s="24" t="str">
        <f aca="false">IF(C44&lt;สมมติฐาน!$D$8,"รับราชการ","รับบำนาญ")</f>
        <v>รับราชการ</v>
      </c>
      <c r="E44" s="25" t="n">
        <f aca="false">(1+สมมติฐาน!$B$39)^(A44-1)</f>
        <v>1.99988955266246</v>
      </c>
      <c r="F44" s="26" t="n">
        <f aca="false">IF(D44="รับราชการ",สมมติฐาน!$D$13*(1+สมมติฐาน!$D$15)^(A44-1)*E44,0)</f>
        <v>147991.826897022</v>
      </c>
      <c r="G44" s="26" t="n">
        <f aca="false">F44*12</f>
        <v>1775901.92276426</v>
      </c>
      <c r="H44" s="26" t="n">
        <f aca="false">IF(D44="รับราชการ",IF(A44&gt;=สมมติฐาน!$D$19,สมมติฐาน!$D$18,IF(A44&gt;=สมมติฐาน!$D$17,สมมติฐาน!$D$16,0))*12*E44,0)</f>
        <v>479973.49263899</v>
      </c>
      <c r="I44" s="26" t="n">
        <f aca="false">G44*สมมติฐาน!$D$21</f>
        <v>88795.0961382129</v>
      </c>
      <c r="J44" s="26" t="n">
        <f aca="false">IF(AND(D44="รับราชการ",A44&lt;=สมมติฐาน!$D$23),สมมติฐาน!$D$22*12*E44,0)</f>
        <v>0</v>
      </c>
      <c r="K44" s="26" t="n">
        <f aca="false">IF(AND(D44="รับราชการ",สมมติฐาน!$D$26&gt;0,A44&gt;=สมมติฐาน!$D$29,A44&lt;สมมติฐาน!$D$29+สมมติฐาน!$D$30),สมมติฐาน!$D$28*สมมติฐาน!$D$26*E44,0)</f>
        <v>0</v>
      </c>
      <c r="L44" s="26" t="n">
        <f aca="false">G44*สมมติฐาน!$D$20</f>
        <v>71036.0769105703</v>
      </c>
      <c r="M44" s="25" t="n">
        <f aca="false">(1+สมมติฐาน!$B$39)^(A44-1)*(1+สมมติฐาน!$B$40)^(A44-1)</f>
        <v>3.99955822284844</v>
      </c>
      <c r="N44" s="23" t="n">
        <f aca="false">A44-สมมติฐาน!$D$31</f>
        <v>28</v>
      </c>
      <c r="O44" s="23" t="n">
        <f aca="false">C44+สมมติฐาน!$D$32</f>
        <v>87</v>
      </c>
      <c r="P44" s="26" t="n">
        <f aca="false">(1+สมมติฐาน!$D$25)*สมมติฐาน!$B$37*LOOKUP(C44,สมมติฐาน!$A$59:$A$64,สมมติฐาน!$B$59:$B$64)*สมมติฐาน!$D$34*M44</f>
        <v>111987.630239756</v>
      </c>
      <c r="Q44" s="26" t="n">
        <f aca="false">IF(AND(สมมติฐาน!$D$26&gt;0,N44&gt;=0,N44&lt;=19),สมมติฐาน!$D$26*สมมติฐาน!$B$37*LOOKUP(MAX(N44,0),สมมติฐาน!$A$59:$A$64,สมมติฐาน!$B$59:$B$64)*สมมติฐาน!$D$34*M44,0)</f>
        <v>0</v>
      </c>
      <c r="R44" s="26" t="n">
        <f aca="false">IF(AND(สมมติฐาน!$D$27&gt;0,O44&lt;=สมมติฐาน!$D$33),สมมติฐาน!$D$27*สมมติฐาน!$B$37*LOOKUP(O44,สมมติฐาน!$A$59:$A$64,สมมติฐาน!$B$59:$B$64)*สมมติฐาน!$D$34*M44,0)</f>
        <v>0</v>
      </c>
      <c r="S44" s="26" t="n">
        <f aca="false">IF(D44="รับราชการ",0,$AD$6*12*(1+สมมติฐาน!$B$42)^(A44-36-1))</f>
        <v>0</v>
      </c>
      <c r="T44" s="26" t="n">
        <f aca="false">IF(C44=สมมติฐาน!$D$8,$AD$7,0)+IF(C44=65,$AD$9,0)+IF(C44=70,$AD$11,0)+IF(A44=62,$AD$12+$AD$13,0)</f>
        <v>0</v>
      </c>
      <c r="U44" s="26" t="n">
        <f aca="false">G44+H44+I44+J44+K44+L44+P44+Q44+R44+S44+T44</f>
        <v>2527694.21869179</v>
      </c>
      <c r="V44" s="26" t="n">
        <f aca="false">U44/E44</f>
        <v>1263916.90747455</v>
      </c>
      <c r="W44" s="25" t="n">
        <f aca="false">1/(1+สมมติฐาน!$B$41)^(A44-1)</f>
        <v>0.500027613359297</v>
      </c>
      <c r="X44" s="26" t="n">
        <f aca="false">V44*W44</f>
        <v>631993.354728961</v>
      </c>
    </row>
    <row r="45" customFormat="false" ht="15" hidden="false" customHeight="true" outlineLevel="0" collapsed="false">
      <c r="A45" s="20" t="n">
        <v>37</v>
      </c>
      <c r="B45" s="20" t="n">
        <f aca="false">สมมติฐาน!$B$38+A45-1</f>
        <v>2605</v>
      </c>
      <c r="C45" s="20" t="n">
        <f aca="false">สมมติฐาน!$D$7+A45-1</f>
        <v>60</v>
      </c>
      <c r="D45" s="21" t="str">
        <f aca="false">IF(C45&lt;สมมติฐาน!$D$8,"รับราชการ","รับบำนาญ")</f>
        <v>รับบำนาญ</v>
      </c>
      <c r="E45" s="22" t="n">
        <f aca="false">(1+สมมติฐาน!$B$39)^(A45-1)</f>
        <v>2.03988734371571</v>
      </c>
      <c r="F45" s="14" t="n">
        <f aca="false">IF(D45="รับราชการ",สมมติฐาน!$D$13*(1+สมมติฐาน!$D$15)^(A45-1)*E45,0)</f>
        <v>0</v>
      </c>
      <c r="G45" s="14" t="n">
        <f aca="false">F45*12</f>
        <v>0</v>
      </c>
      <c r="H45" s="14" t="n">
        <f aca="false">IF(D45="รับราชการ",IF(A45&gt;=สมมติฐาน!$D$19,สมมติฐาน!$D$18,IF(A45&gt;=สมมติฐาน!$D$17,สมมติฐาน!$D$16,0))*12*E45,0)</f>
        <v>0</v>
      </c>
      <c r="I45" s="14" t="n">
        <f aca="false">G45*สมมติฐาน!$D$21</f>
        <v>0</v>
      </c>
      <c r="J45" s="14" t="n">
        <f aca="false">IF(AND(D45="รับราชการ",A45&lt;=สมมติฐาน!$D$23),สมมติฐาน!$D$22*12*E45,0)</f>
        <v>0</v>
      </c>
      <c r="K45" s="14" t="n">
        <f aca="false">IF(AND(D45="รับราชการ",สมมติฐาน!$D$26&gt;0,A45&gt;=สมมติฐาน!$D$29,A45&lt;สมมติฐาน!$D$29+สมมติฐาน!$D$30),สมมติฐาน!$D$28*สมมติฐาน!$D$26*E45,0)</f>
        <v>0</v>
      </c>
      <c r="L45" s="14" t="n">
        <f aca="false">G45*สมมติฐาน!$D$20</f>
        <v>0</v>
      </c>
      <c r="M45" s="22" t="n">
        <f aca="false">(1+สมมติฐาน!$B$39)^(A45-1)*(1+สมมติฐาน!$B$40)^(A45-1)</f>
        <v>4.16114037505152</v>
      </c>
      <c r="N45" s="20" t="n">
        <f aca="false">A45-สมมติฐาน!$D$31</f>
        <v>29</v>
      </c>
      <c r="O45" s="20" t="n">
        <f aca="false">C45+สมมติฐาน!$D$32</f>
        <v>88</v>
      </c>
      <c r="P45" s="14" t="n">
        <f aca="false">(1+สมมติฐาน!$D$25)*สมมติฐาน!$B$37*LOOKUP(C45,สมมติฐาน!$A$59:$A$64,สมมติฐาน!$B$59:$B$64)*สมมติฐาน!$D$34*M45</f>
        <v>233023.861002885</v>
      </c>
      <c r="Q45" s="14" t="n">
        <f aca="false">IF(AND(สมมติฐาน!$D$26&gt;0,N45&gt;=0,N45&lt;=19),สมมติฐาน!$D$26*สมมติฐาน!$B$37*LOOKUP(MAX(N45,0),สมมติฐาน!$A$59:$A$64,สมมติฐาน!$B$59:$B$64)*สมมติฐาน!$D$34*M45,0)</f>
        <v>0</v>
      </c>
      <c r="R45" s="14" t="n">
        <f aca="false">IF(AND(สมมติฐาน!$D$27&gt;0,O45&lt;=สมมติฐาน!$D$33),สมมติฐาน!$D$27*สมมติฐาน!$B$37*LOOKUP(O45,สมมติฐาน!$A$59:$A$64,สมมติฐาน!$B$59:$B$64)*สมมติฐาน!$D$34*M45,0)</f>
        <v>0</v>
      </c>
      <c r="S45" s="14" t="n">
        <f aca="false">IF(D45="รับราชการ",0,$AD$6*12*(1+สมมติฐาน!$B$42)^(A45-36-1))</f>
        <v>1115859.9117833</v>
      </c>
      <c r="T45" s="14" t="n">
        <f aca="false">IF(C45=สมมติฐาน!$D$8,$AD$7,0)+IF(C45=65,$AD$9,0)+IF(C45=70,$AD$11,0)+IF(A45=62,$AD$12+$AD$13,0)</f>
        <v>200000</v>
      </c>
      <c r="U45" s="14" t="n">
        <f aca="false">G45+H45+I45+J45+K45+L45+P45+Q45+R45+S45+T45</f>
        <v>1548883.77278619</v>
      </c>
      <c r="V45" s="14" t="n">
        <f aca="false">U45/E45</f>
        <v>759298.682624726</v>
      </c>
      <c r="W45" s="22" t="n">
        <f aca="false">1/(1+สมมติฐาน!$B$41)^(A45-1)</f>
        <v>0.490223150352252</v>
      </c>
      <c r="X45" s="14" t="n">
        <f aca="false">V45*W45</f>
        <v>372225.792254608</v>
      </c>
    </row>
    <row r="46" customFormat="false" ht="15" hidden="false" customHeight="true" outlineLevel="0" collapsed="false">
      <c r="A46" s="23" t="n">
        <v>38</v>
      </c>
      <c r="B46" s="23" t="n">
        <f aca="false">สมมติฐาน!$B$38+A46-1</f>
        <v>2606</v>
      </c>
      <c r="C46" s="23" t="n">
        <f aca="false">สมมติฐาน!$D$7+A46-1</f>
        <v>61</v>
      </c>
      <c r="D46" s="24" t="str">
        <f aca="false">IF(C46&lt;สมมติฐาน!$D$8,"รับราชการ","รับบำนาญ")</f>
        <v>รับบำนาญ</v>
      </c>
      <c r="E46" s="25" t="n">
        <f aca="false">(1+สมมติฐาน!$B$39)^(A46-1)</f>
        <v>2.08068509059002</v>
      </c>
      <c r="F46" s="26" t="n">
        <f aca="false">IF(D46="รับราชการ",สมมติฐาน!$D$13*(1+สมมติฐาน!$D$15)^(A46-1)*E46,0)</f>
        <v>0</v>
      </c>
      <c r="G46" s="26" t="n">
        <f aca="false">F46*12</f>
        <v>0</v>
      </c>
      <c r="H46" s="26" t="n">
        <f aca="false">IF(D46="รับราชการ",IF(A46&gt;=สมมติฐาน!$D$19,สมมติฐาน!$D$18,IF(A46&gt;=สมมติฐาน!$D$17,สมมติฐาน!$D$16,0))*12*E46,0)</f>
        <v>0</v>
      </c>
      <c r="I46" s="26" t="n">
        <f aca="false">G46*สมมติฐาน!$D$21</f>
        <v>0</v>
      </c>
      <c r="J46" s="26" t="n">
        <f aca="false">IF(AND(D46="รับราชการ",A46&lt;=สมมติฐาน!$D$23),สมมติฐาน!$D$22*12*E46,0)</f>
        <v>0</v>
      </c>
      <c r="K46" s="26" t="n">
        <f aca="false">IF(AND(D46="รับราชการ",สมมติฐาน!$D$26&gt;0,A46&gt;=สมมติฐาน!$D$29,A46&lt;สมมติฐาน!$D$29+สมมติฐาน!$D$30),สมมติฐาน!$D$28*สมมติฐาน!$D$26*E46,0)</f>
        <v>0</v>
      </c>
      <c r="L46" s="26" t="n">
        <f aca="false">G46*สมมติฐาน!$D$20</f>
        <v>0</v>
      </c>
      <c r="M46" s="25" t="n">
        <f aca="false">(1+สมมติฐาน!$B$39)^(A46-1)*(1+สมมติฐาน!$B$40)^(A46-1)</f>
        <v>4.3292504462036</v>
      </c>
      <c r="N46" s="23" t="n">
        <f aca="false">A46-สมมติฐาน!$D$31</f>
        <v>30</v>
      </c>
      <c r="O46" s="23" t="n">
        <f aca="false">C46+สมมติฐาน!$D$32</f>
        <v>89</v>
      </c>
      <c r="P46" s="26" t="n">
        <f aca="false">(1+สมมติฐาน!$D$25)*สมมติฐาน!$B$37*LOOKUP(C46,สมมติฐาน!$A$59:$A$64,สมมติฐาน!$B$59:$B$64)*สมมติฐาน!$D$34*M46</f>
        <v>242438.024987402</v>
      </c>
      <c r="Q46" s="26" t="n">
        <f aca="false">IF(AND(สมมติฐาน!$D$26&gt;0,N46&gt;=0,N46&lt;=19),สมมติฐาน!$D$26*สมมติฐาน!$B$37*LOOKUP(MAX(N46,0),สมมติฐาน!$A$59:$A$64,สมมติฐาน!$B$59:$B$64)*สมมติฐาน!$D$34*M46,0)</f>
        <v>0</v>
      </c>
      <c r="R46" s="26" t="n">
        <f aca="false">IF(AND(สมมติฐาน!$D$27&gt;0,O46&lt;=สมมติฐาน!$D$33),สมมติฐาน!$D$27*สมมติฐาน!$B$37*LOOKUP(O46,สมมติฐาน!$A$59:$A$64,สมมติฐาน!$B$59:$B$64)*สมมติฐาน!$D$34*M46,0)</f>
        <v>0</v>
      </c>
      <c r="S46" s="26" t="n">
        <f aca="false">IF(D46="รับราชการ",0,$AD$6*12*(1+สมมติฐาน!$B$42)^(A46-36-1))</f>
        <v>1127018.51090114</v>
      </c>
      <c r="T46" s="26" t="n">
        <f aca="false">IF(C46=สมมติฐาน!$D$8,$AD$7,0)+IF(C46=65,$AD$9,0)+IF(C46=70,$AD$11,0)+IF(A46=62,$AD$12+$AD$13,0)</f>
        <v>0</v>
      </c>
      <c r="U46" s="26" t="n">
        <f aca="false">G46+H46+I46+J46+K46+L46+P46+Q46+R46+S46+T46</f>
        <v>1369456.53588854</v>
      </c>
      <c r="V46" s="26" t="n">
        <f aca="false">U46/E46</f>
        <v>658175.781660549</v>
      </c>
      <c r="W46" s="25" t="n">
        <f aca="false">1/(1+สมมติฐาน!$B$41)^(A46-1)</f>
        <v>0.480610931717894</v>
      </c>
      <c r="X46" s="26" t="n">
        <f aca="false">V46*W46</f>
        <v>316326.47565803</v>
      </c>
    </row>
    <row r="47" customFormat="false" ht="15" hidden="false" customHeight="true" outlineLevel="0" collapsed="false">
      <c r="A47" s="20" t="n">
        <v>39</v>
      </c>
      <c r="B47" s="20" t="n">
        <f aca="false">สมมติฐาน!$B$38+A47-1</f>
        <v>2607</v>
      </c>
      <c r="C47" s="20" t="n">
        <f aca="false">สมมติฐาน!$D$7+A47-1</f>
        <v>62</v>
      </c>
      <c r="D47" s="21" t="str">
        <f aca="false">IF(C47&lt;สมมติฐาน!$D$8,"รับราชการ","รับบำนาญ")</f>
        <v>รับบำนาญ</v>
      </c>
      <c r="E47" s="22" t="n">
        <f aca="false">(1+สมมติฐาน!$B$39)^(A47-1)</f>
        <v>2.12229879240182</v>
      </c>
      <c r="F47" s="14" t="n">
        <f aca="false">IF(D47="รับราชการ",สมมติฐาน!$D$13*(1+สมมติฐาน!$D$15)^(A47-1)*E47,0)</f>
        <v>0</v>
      </c>
      <c r="G47" s="14" t="n">
        <f aca="false">F47*12</f>
        <v>0</v>
      </c>
      <c r="H47" s="14" t="n">
        <f aca="false">IF(D47="รับราชการ",IF(A47&gt;=สมมติฐาน!$D$19,สมมติฐาน!$D$18,IF(A47&gt;=สมมติฐาน!$D$17,สมมติฐาน!$D$16,0))*12*E47,0)</f>
        <v>0</v>
      </c>
      <c r="I47" s="14" t="n">
        <f aca="false">G47*สมมติฐาน!$D$21</f>
        <v>0</v>
      </c>
      <c r="J47" s="14" t="n">
        <f aca="false">IF(AND(D47="รับราชการ",A47&lt;=สมมติฐาน!$D$23),สมมติฐาน!$D$22*12*E47,0)</f>
        <v>0</v>
      </c>
      <c r="K47" s="14" t="n">
        <f aca="false">IF(AND(D47="รับราชการ",สมมติฐาน!$D$26&gt;0,A47&gt;=สมมติฐาน!$D$29,A47&lt;สมมติฐาน!$D$29+สมมติฐาน!$D$30),สมมติฐาน!$D$28*สมมติฐาน!$D$26*E47,0)</f>
        <v>0</v>
      </c>
      <c r="L47" s="14" t="n">
        <f aca="false">G47*สมมติฐาน!$D$20</f>
        <v>0</v>
      </c>
      <c r="M47" s="22" t="n">
        <f aca="false">(1+สมมติฐาน!$B$39)^(A47-1)*(1+สมมติฐาน!$B$40)^(A47-1)</f>
        <v>4.50415216423022</v>
      </c>
      <c r="N47" s="20" t="n">
        <f aca="false">A47-สมมติฐาน!$D$31</f>
        <v>31</v>
      </c>
      <c r="O47" s="20" t="n">
        <f aca="false">C47+สมมติฐาน!$D$32</f>
        <v>90</v>
      </c>
      <c r="P47" s="14" t="n">
        <f aca="false">(1+สมมติฐาน!$D$25)*สมมติฐาน!$B$37*LOOKUP(C47,สมมติฐาน!$A$59:$A$64,สมมติฐาน!$B$59:$B$64)*สมมติฐาน!$D$34*M47</f>
        <v>252232.521196893</v>
      </c>
      <c r="Q47" s="14" t="n">
        <f aca="false">IF(AND(สมมติฐาน!$D$26&gt;0,N47&gt;=0,N47&lt;=19),สมมติฐาน!$D$26*สมมติฐาน!$B$37*LOOKUP(MAX(N47,0),สมมติฐาน!$A$59:$A$64,สมมติฐาน!$B$59:$B$64)*สมมติฐาน!$D$34*M47,0)</f>
        <v>0</v>
      </c>
      <c r="R47" s="14" t="n">
        <f aca="false">IF(AND(สมมติฐาน!$D$27&gt;0,O47&lt;=สมมติฐาน!$D$33),สมมติฐาน!$D$27*สมมติฐาน!$B$37*LOOKUP(O47,สมมติฐาน!$A$59:$A$64,สมมติฐาน!$B$59:$B$64)*สมมติฐาน!$D$34*M47,0)</f>
        <v>0</v>
      </c>
      <c r="S47" s="14" t="n">
        <f aca="false">IF(D47="รับราชการ",0,$AD$6*12*(1+สมมติฐาน!$B$42)^(A47-36-1))</f>
        <v>1138288.69601015</v>
      </c>
      <c r="T47" s="14" t="n">
        <f aca="false">IF(C47=สมมติฐาน!$D$8,$AD$7,0)+IF(C47=65,$AD$9,0)+IF(C47=70,$AD$11,0)+IF(A47=62,$AD$12+$AD$13,0)</f>
        <v>0</v>
      </c>
      <c r="U47" s="14" t="n">
        <f aca="false">G47+H47+I47+J47+K47+L47+P47+Q47+R47+S47+T47</f>
        <v>1390521.21720704</v>
      </c>
      <c r="V47" s="14" t="n">
        <f aca="false">U47/E47</f>
        <v>655195.782132721</v>
      </c>
      <c r="W47" s="22" t="n">
        <f aca="false">1/(1+สมมติฐาน!$B$41)^(A47-1)</f>
        <v>0.47118718795872</v>
      </c>
      <c r="X47" s="14" t="n">
        <f aca="false">V47*W47</f>
        <v>308719.858145531</v>
      </c>
    </row>
    <row r="48" customFormat="false" ht="15" hidden="false" customHeight="true" outlineLevel="0" collapsed="false">
      <c r="A48" s="23" t="n">
        <v>40</v>
      </c>
      <c r="B48" s="23" t="n">
        <f aca="false">สมมติฐาน!$B$38+A48-1</f>
        <v>2608</v>
      </c>
      <c r="C48" s="23" t="n">
        <f aca="false">สมมติฐาน!$D$7+A48-1</f>
        <v>63</v>
      </c>
      <c r="D48" s="24" t="str">
        <f aca="false">IF(C48&lt;สมมติฐาน!$D$8,"รับราชการ","รับบำนาญ")</f>
        <v>รับบำนาญ</v>
      </c>
      <c r="E48" s="25" t="n">
        <f aca="false">(1+สมมติฐาน!$B$39)^(A48-1)</f>
        <v>2.16474476824986</v>
      </c>
      <c r="F48" s="26" t="n">
        <f aca="false">IF(D48="รับราชการ",สมมติฐาน!$D$13*(1+สมมติฐาน!$D$15)^(A48-1)*E48,0)</f>
        <v>0</v>
      </c>
      <c r="G48" s="26" t="n">
        <f aca="false">F48*12</f>
        <v>0</v>
      </c>
      <c r="H48" s="26" t="n">
        <f aca="false">IF(D48="รับราชการ",IF(A48&gt;=สมมติฐาน!$D$19,สมมติฐาน!$D$18,IF(A48&gt;=สมมติฐาน!$D$17,สมมติฐาน!$D$16,0))*12*E48,0)</f>
        <v>0</v>
      </c>
      <c r="I48" s="26" t="n">
        <f aca="false">G48*สมมติฐาน!$D$21</f>
        <v>0</v>
      </c>
      <c r="J48" s="26" t="n">
        <f aca="false">IF(AND(D48="รับราชการ",A48&lt;=สมมติฐาน!$D$23),สมมติฐาน!$D$22*12*E48,0)</f>
        <v>0</v>
      </c>
      <c r="K48" s="26" t="n">
        <f aca="false">IF(AND(D48="รับราชการ",สมมติฐาน!$D$26&gt;0,A48&gt;=สมมติฐาน!$D$29,A48&lt;สมมติฐาน!$D$29+สมมติฐาน!$D$30),สมมติฐาน!$D$28*สมมติฐาน!$D$26*E48,0)</f>
        <v>0</v>
      </c>
      <c r="L48" s="26" t="n">
        <f aca="false">G48*สมมติฐาน!$D$20</f>
        <v>0</v>
      </c>
      <c r="M48" s="25" t="n">
        <f aca="false">(1+สมมติฐาน!$B$39)^(A48-1)*(1+สมมติฐาน!$B$40)^(A48-1)</f>
        <v>4.68611991166512</v>
      </c>
      <c r="N48" s="23" t="n">
        <f aca="false">A48-สมมติฐาน!$D$31</f>
        <v>32</v>
      </c>
      <c r="O48" s="23" t="n">
        <f aca="false">C48+สมมติฐาน!$D$32</f>
        <v>91</v>
      </c>
      <c r="P48" s="26" t="n">
        <f aca="false">(1+สมมติฐาน!$D$25)*สมมติฐาน!$B$37*LOOKUP(C48,สมมติฐาน!$A$59:$A$64,สมมติฐาน!$B$59:$B$64)*สมมติฐาน!$D$34*M48</f>
        <v>262422.715053247</v>
      </c>
      <c r="Q48" s="26" t="n">
        <f aca="false">IF(AND(สมมติฐาน!$D$26&gt;0,N48&gt;=0,N48&lt;=19),สมมติฐาน!$D$26*สมมติฐาน!$B$37*LOOKUP(MAX(N48,0),สมมติฐาน!$A$59:$A$64,สมมติฐาน!$B$59:$B$64)*สมมติฐาน!$D$34*M48,0)</f>
        <v>0</v>
      </c>
      <c r="R48" s="26" t="n">
        <f aca="false">IF(AND(สมมติฐาน!$D$27&gt;0,O48&lt;=สมมติฐาน!$D$33),สมมติฐาน!$D$27*สมมติฐาน!$B$37*LOOKUP(O48,สมมติฐาน!$A$59:$A$64,สมมติฐาน!$B$59:$B$64)*สมมติฐาน!$D$34*M48,0)</f>
        <v>0</v>
      </c>
      <c r="S48" s="26" t="n">
        <f aca="false">IF(D48="รับราชการ",0,$AD$6*12*(1+สมมติฐาน!$B$42)^(A48-36-1))</f>
        <v>1149671.58297025</v>
      </c>
      <c r="T48" s="26" t="n">
        <f aca="false">IF(C48=สมมติฐาน!$D$8,$AD$7,0)+IF(C48=65,$AD$9,0)+IF(C48=70,$AD$11,0)+IF(A48=62,$AD$12+$AD$13,0)</f>
        <v>0</v>
      </c>
      <c r="U48" s="26" t="n">
        <f aca="false">G48+H48+I48+J48+K48+L48+P48+Q48+R48+S48+T48</f>
        <v>1412094.2980235</v>
      </c>
      <c r="V48" s="26" t="n">
        <f aca="false">U48/E48</f>
        <v>652314.452370817</v>
      </c>
      <c r="W48" s="25" t="n">
        <f aca="false">1/(1+สมมติฐาน!$B$41)^(A48-1)</f>
        <v>0.461948223488941</v>
      </c>
      <c r="X48" s="26" t="n">
        <f aca="false">V48*W48</f>
        <v>301335.50242886</v>
      </c>
    </row>
    <row r="49" customFormat="false" ht="15" hidden="false" customHeight="true" outlineLevel="0" collapsed="false">
      <c r="A49" s="20" t="n">
        <v>41</v>
      </c>
      <c r="B49" s="20" t="n">
        <f aca="false">สมมติฐาน!$B$38+A49-1</f>
        <v>2609</v>
      </c>
      <c r="C49" s="20" t="n">
        <f aca="false">สมมติฐาน!$D$7+A49-1</f>
        <v>64</v>
      </c>
      <c r="D49" s="21" t="str">
        <f aca="false">IF(C49&lt;สมมติฐาน!$D$8,"รับราชการ","รับบำนาญ")</f>
        <v>รับบำนาญ</v>
      </c>
      <c r="E49" s="22" t="n">
        <f aca="false">(1+สมมติฐาน!$B$39)^(A49-1)</f>
        <v>2.20803966361485</v>
      </c>
      <c r="F49" s="14" t="n">
        <f aca="false">IF(D49="รับราชการ",สมมติฐาน!$D$13*(1+สมมติฐาน!$D$15)^(A49-1)*E49,0)</f>
        <v>0</v>
      </c>
      <c r="G49" s="14" t="n">
        <f aca="false">F49*12</f>
        <v>0</v>
      </c>
      <c r="H49" s="14" t="n">
        <f aca="false">IF(D49="รับราชการ",IF(A49&gt;=สมมติฐาน!$D$19,สมมติฐาน!$D$18,IF(A49&gt;=สมมติฐาน!$D$17,สมมติฐาน!$D$16,0))*12*E49,0)</f>
        <v>0</v>
      </c>
      <c r="I49" s="14" t="n">
        <f aca="false">G49*สมมติฐาน!$D$21</f>
        <v>0</v>
      </c>
      <c r="J49" s="14" t="n">
        <f aca="false">IF(AND(D49="รับราชการ",A49&lt;=สมมติฐาน!$D$23),สมมติฐาน!$D$22*12*E49,0)</f>
        <v>0</v>
      </c>
      <c r="K49" s="14" t="n">
        <f aca="false">IF(AND(D49="รับราชการ",สมมติฐาน!$D$26&gt;0,A49&gt;=สมมติฐาน!$D$29,A49&lt;สมมติฐาน!$D$29+สมมติฐาน!$D$30),สมมติฐาน!$D$28*สมมติฐาน!$D$26*E49,0)</f>
        <v>0</v>
      </c>
      <c r="L49" s="14" t="n">
        <f aca="false">G49*สมมติฐาน!$D$20</f>
        <v>0</v>
      </c>
      <c r="M49" s="22" t="n">
        <f aca="false">(1+สมมติฐาน!$B$39)^(A49-1)*(1+สมมติฐาน!$B$40)^(A49-1)</f>
        <v>4.8754391560964</v>
      </c>
      <c r="N49" s="20" t="n">
        <f aca="false">A49-สมมติฐาน!$D$31</f>
        <v>33</v>
      </c>
      <c r="O49" s="20" t="n">
        <f aca="false">C49+สมมติฐาน!$D$32</f>
        <v>92</v>
      </c>
      <c r="P49" s="14" t="n">
        <f aca="false">(1+สมมติฐาน!$D$25)*สมมติฐาน!$B$37*LOOKUP(C49,สมมติฐาน!$A$59:$A$64,สมมติฐาน!$B$59:$B$64)*สมมติฐาน!$D$34*M49</f>
        <v>273024.592741398</v>
      </c>
      <c r="Q49" s="14" t="n">
        <f aca="false">IF(AND(สมมติฐาน!$D$26&gt;0,N49&gt;=0,N49&lt;=19),สมมติฐาน!$D$26*สมมติฐาน!$B$37*LOOKUP(MAX(N49,0),สมมติฐาน!$A$59:$A$64,สมมติฐาน!$B$59:$B$64)*สมมติฐาน!$D$34*M49,0)</f>
        <v>0</v>
      </c>
      <c r="R49" s="14" t="n">
        <f aca="false">IF(AND(สมมติฐาน!$D$27&gt;0,O49&lt;=สมมติฐาน!$D$33),สมมติฐาน!$D$27*สมมติฐาน!$B$37*LOOKUP(O49,สมมติฐาน!$A$59:$A$64,สมมติฐาน!$B$59:$B$64)*สมมติฐาน!$D$34*M49,0)</f>
        <v>0</v>
      </c>
      <c r="S49" s="14" t="n">
        <f aca="false">IF(D49="รับราชการ",0,$AD$6*12*(1+สมมติฐาน!$B$42)^(A49-36-1))</f>
        <v>1161168.29879995</v>
      </c>
      <c r="T49" s="14" t="n">
        <f aca="false">IF(C49=สมมติฐาน!$D$8,$AD$7,0)+IF(C49=65,$AD$9,0)+IF(C49=70,$AD$11,0)+IF(A49=62,$AD$12+$AD$13,0)</f>
        <v>0</v>
      </c>
      <c r="U49" s="14" t="n">
        <f aca="false">G49+H49+I49+J49+K49+L49+P49+Q49+R49+S49+T49</f>
        <v>1434192.89154135</v>
      </c>
      <c r="V49" s="14" t="n">
        <f aca="false">U49/E49</f>
        <v>649532.214105876</v>
      </c>
      <c r="W49" s="22" t="n">
        <f aca="false">1/(1+สมมติฐาน!$B$41)^(A49-1)</f>
        <v>0.452890415185236</v>
      </c>
      <c r="X49" s="14" t="n">
        <f aca="false">V49*W49</f>
        <v>294166.914122596</v>
      </c>
    </row>
    <row r="50" customFormat="false" ht="15" hidden="false" customHeight="true" outlineLevel="0" collapsed="false">
      <c r="A50" s="23" t="n">
        <v>42</v>
      </c>
      <c r="B50" s="23" t="n">
        <f aca="false">สมมติฐาน!$B$38+A50-1</f>
        <v>2610</v>
      </c>
      <c r="C50" s="23" t="n">
        <f aca="false">สมมติฐาน!$D$7+A50-1</f>
        <v>65</v>
      </c>
      <c r="D50" s="24" t="str">
        <f aca="false">IF(C50&lt;สมมติฐาน!$D$8,"รับราชการ","รับบำนาญ")</f>
        <v>รับบำนาญ</v>
      </c>
      <c r="E50" s="25" t="n">
        <f aca="false">(1+สมมติฐาน!$B$39)^(A50-1)</f>
        <v>2.25220045688715</v>
      </c>
      <c r="F50" s="26" t="n">
        <f aca="false">IF(D50="รับราชการ",สมมติฐาน!$D$13*(1+สมมติฐาน!$D$15)^(A50-1)*E50,0)</f>
        <v>0</v>
      </c>
      <c r="G50" s="26" t="n">
        <f aca="false">F50*12</f>
        <v>0</v>
      </c>
      <c r="H50" s="26" t="n">
        <f aca="false">IF(D50="รับราชการ",IF(A50&gt;=สมมติฐาน!$D$19,สมมติฐาน!$D$18,IF(A50&gt;=สมมติฐาน!$D$17,สมมติฐาน!$D$16,0))*12*E50,0)</f>
        <v>0</v>
      </c>
      <c r="I50" s="26" t="n">
        <f aca="false">G50*สมมติฐาน!$D$21</f>
        <v>0</v>
      </c>
      <c r="J50" s="26" t="n">
        <f aca="false">IF(AND(D50="รับราชการ",A50&lt;=สมมติฐาน!$D$23),สมมติฐาน!$D$22*12*E50,0)</f>
        <v>0</v>
      </c>
      <c r="K50" s="26" t="n">
        <f aca="false">IF(AND(D50="รับราชการ",สมมติฐาน!$D$26&gt;0,A50&gt;=สมมติฐาน!$D$29,A50&lt;สมมติฐาน!$D$29+สมมติฐาน!$D$30),สมมติฐาน!$D$28*สมมติฐาน!$D$26*E50,0)</f>
        <v>0</v>
      </c>
      <c r="L50" s="26" t="n">
        <f aca="false">G50*สมมติฐาน!$D$20</f>
        <v>0</v>
      </c>
      <c r="M50" s="25" t="n">
        <f aca="false">(1+สมมติฐาน!$B$39)^(A50-1)*(1+สมมติฐาน!$B$40)^(A50-1)</f>
        <v>5.07240689800269</v>
      </c>
      <c r="N50" s="23" t="n">
        <f aca="false">A50-สมมติฐาน!$D$31</f>
        <v>34</v>
      </c>
      <c r="O50" s="23" t="n">
        <f aca="false">C50+สมมติฐาน!$D$32</f>
        <v>93</v>
      </c>
      <c r="P50" s="26" t="n">
        <f aca="false">(1+สมมติฐาน!$D$25)*สมมติฐาน!$B$37*LOOKUP(C50,สมมติฐาน!$A$59:$A$64,สมมติฐาน!$B$59:$B$64)*สมมติฐาน!$D$34*M50</f>
        <v>284054.786288151</v>
      </c>
      <c r="Q50" s="26" t="n">
        <f aca="false">IF(AND(สมมติฐาน!$D$26&gt;0,N50&gt;=0,N50&lt;=19),สมมติฐาน!$D$26*สมมติฐาน!$B$37*LOOKUP(MAX(N50,0),สมมติฐาน!$A$59:$A$64,สมมติฐาน!$B$59:$B$64)*สมมติฐาน!$D$34*M50,0)</f>
        <v>0</v>
      </c>
      <c r="R50" s="26" t="n">
        <f aca="false">IF(AND(สมมติฐาน!$D$27&gt;0,O50&lt;=สมมติฐาน!$D$33),สมมติฐาน!$D$27*สมมติฐาน!$B$37*LOOKUP(O50,สมมติฐาน!$A$59:$A$64,สมมติฐาน!$B$59:$B$64)*สมมติฐาน!$D$34*M50,0)</f>
        <v>0</v>
      </c>
      <c r="S50" s="26" t="n">
        <f aca="false">IF(D50="รับราชการ",0,$AD$6*12*(1+สมมติฐาน!$B$42)^(A50-36-1))</f>
        <v>1172779.98178795</v>
      </c>
      <c r="T50" s="26" t="n">
        <f aca="false">IF(C50=สมมติฐาน!$D$8,$AD$7,0)+IF(C50=65,$AD$9,0)+IF(C50=70,$AD$11,0)+IF(A50=62,$AD$12+$AD$13,0)</f>
        <v>200000</v>
      </c>
      <c r="U50" s="26" t="n">
        <f aca="false">G50+H50+I50+J50+K50+L50+P50+Q50+R50+S50+T50</f>
        <v>1656834.7680761</v>
      </c>
      <c r="V50" s="26" t="n">
        <f aca="false">U50/E50</f>
        <v>735651.554909137</v>
      </c>
      <c r="W50" s="25" t="n">
        <f aca="false">1/(1+สมมติฐาน!$B$41)^(A50-1)</f>
        <v>0.444010210965918</v>
      </c>
      <c r="X50" s="26" t="n">
        <f aca="false">V50*W50</f>
        <v>326636.802092611</v>
      </c>
    </row>
    <row r="51" customFormat="false" ht="15" hidden="false" customHeight="true" outlineLevel="0" collapsed="false">
      <c r="A51" s="20" t="n">
        <v>43</v>
      </c>
      <c r="B51" s="20" t="n">
        <f aca="false">สมมติฐาน!$B$38+A51-1</f>
        <v>2611</v>
      </c>
      <c r="C51" s="20" t="n">
        <f aca="false">สมมติฐาน!$D$7+A51-1</f>
        <v>66</v>
      </c>
      <c r="D51" s="21" t="str">
        <f aca="false">IF(C51&lt;สมมติฐาน!$D$8,"รับราชการ","รับบำนาญ")</f>
        <v>รับบำนาญ</v>
      </c>
      <c r="E51" s="22" t="n">
        <f aca="false">(1+สมมติฐาน!$B$39)^(A51-1)</f>
        <v>2.29724446602489</v>
      </c>
      <c r="F51" s="14" t="n">
        <f aca="false">IF(D51="รับราชการ",สมมติฐาน!$D$13*(1+สมมติฐาน!$D$15)^(A51-1)*E51,0)</f>
        <v>0</v>
      </c>
      <c r="G51" s="14" t="n">
        <f aca="false">F51*12</f>
        <v>0</v>
      </c>
      <c r="H51" s="14" t="n">
        <f aca="false">IF(D51="รับราชการ",IF(A51&gt;=สมมติฐาน!$D$19,สมมติฐาน!$D$18,IF(A51&gt;=สมมติฐาน!$D$17,สมมติฐาน!$D$16,0))*12*E51,0)</f>
        <v>0</v>
      </c>
      <c r="I51" s="14" t="n">
        <f aca="false">G51*สมมติฐาน!$D$21</f>
        <v>0</v>
      </c>
      <c r="J51" s="14" t="n">
        <f aca="false">IF(AND(D51="รับราชการ",A51&lt;=สมมติฐาน!$D$23),สมมติฐาน!$D$22*12*E51,0)</f>
        <v>0</v>
      </c>
      <c r="K51" s="14" t="n">
        <f aca="false">IF(AND(D51="รับราชการ",สมมติฐาน!$D$26&gt;0,A51&gt;=สมมติฐาน!$D$29,A51&lt;สมมติฐาน!$D$29+สมมติฐาน!$D$30),สมมติฐาน!$D$28*สมมติฐาน!$D$26*E51,0)</f>
        <v>0</v>
      </c>
      <c r="L51" s="14" t="n">
        <f aca="false">G51*สมมติฐาน!$D$20</f>
        <v>0</v>
      </c>
      <c r="M51" s="22" t="n">
        <f aca="false">(1+สมมติฐาน!$B$39)^(A51-1)*(1+สมมติฐาน!$B$40)^(A51-1)</f>
        <v>5.277332136682</v>
      </c>
      <c r="N51" s="20" t="n">
        <f aca="false">A51-สมมติฐาน!$D$31</f>
        <v>35</v>
      </c>
      <c r="O51" s="20" t="n">
        <f aca="false">C51+สมมติฐาน!$D$32</f>
        <v>94</v>
      </c>
      <c r="P51" s="14" t="n">
        <f aca="false">(1+สมมติฐาน!$D$25)*สมมติฐาน!$B$37*LOOKUP(C51,สมมติฐาน!$A$59:$A$64,สมมติฐาน!$B$59:$B$64)*สมมติฐาน!$D$34*M51</f>
        <v>295530.599654192</v>
      </c>
      <c r="Q51" s="14" t="n">
        <f aca="false">IF(AND(สมมติฐาน!$D$26&gt;0,N51&gt;=0,N51&lt;=19),สมมติฐาน!$D$26*สมมติฐาน!$B$37*LOOKUP(MAX(N51,0),สมมติฐาน!$A$59:$A$64,สมมติฐาน!$B$59:$B$64)*สมมติฐาน!$D$34*M51,0)</f>
        <v>0</v>
      </c>
      <c r="R51" s="14" t="n">
        <f aca="false">IF(AND(สมมติฐาน!$D$27&gt;0,O51&lt;=สมมติฐาน!$D$33),สมมติฐาน!$D$27*สมมติฐาน!$B$37*LOOKUP(O51,สมมติฐาน!$A$59:$A$64,สมมติฐาน!$B$59:$B$64)*สมมติฐาน!$D$34*M51,0)</f>
        <v>0</v>
      </c>
      <c r="S51" s="14" t="n">
        <f aca="false">IF(D51="รับราชการ",0,$AD$6*12*(1+สมมติฐาน!$B$42)^(A51-36-1))</f>
        <v>1184507.78160583</v>
      </c>
      <c r="T51" s="14" t="n">
        <f aca="false">IF(C51=สมมติฐาน!$D$8,$AD$7,0)+IF(C51=65,$AD$9,0)+IF(C51=70,$AD$11,0)+IF(A51=62,$AD$12+$AD$13,0)</f>
        <v>0</v>
      </c>
      <c r="U51" s="14" t="n">
        <f aca="false">G51+H51+I51+J51+K51+L51+P51+Q51+R51+S51+T51</f>
        <v>1480038.38126002</v>
      </c>
      <c r="V51" s="14" t="n">
        <f aca="false">U51/E51</f>
        <v>644266.817549919</v>
      </c>
      <c r="W51" s="22" t="n">
        <f aca="false">1/(1+สมมติฐาน!$B$41)^(A51-1)</f>
        <v>0.435304128397959</v>
      </c>
      <c r="X51" s="14" t="n">
        <f aca="false">V51*W51</f>
        <v>280452.005469294</v>
      </c>
    </row>
    <row r="52" customFormat="false" ht="15" hidden="false" customHeight="true" outlineLevel="0" collapsed="false">
      <c r="A52" s="23" t="n">
        <v>44</v>
      </c>
      <c r="B52" s="23" t="n">
        <f aca="false">สมมติฐาน!$B$38+A52-1</f>
        <v>2612</v>
      </c>
      <c r="C52" s="23" t="n">
        <f aca="false">สมมติฐาน!$D$7+A52-1</f>
        <v>67</v>
      </c>
      <c r="D52" s="24" t="str">
        <f aca="false">IF(C52&lt;สมมติฐาน!$D$8,"รับราชการ","รับบำนาญ")</f>
        <v>รับบำนาญ</v>
      </c>
      <c r="E52" s="25" t="n">
        <f aca="false">(1+สมมติฐาน!$B$39)^(A52-1)</f>
        <v>2.34318935534539</v>
      </c>
      <c r="F52" s="26" t="n">
        <f aca="false">IF(D52="รับราชการ",สมมติฐาน!$D$13*(1+สมมติฐาน!$D$15)^(A52-1)*E52,0)</f>
        <v>0</v>
      </c>
      <c r="G52" s="26" t="n">
        <f aca="false">F52*12</f>
        <v>0</v>
      </c>
      <c r="H52" s="26" t="n">
        <f aca="false">IF(D52="รับราชการ",IF(A52&gt;=สมมติฐาน!$D$19,สมมติฐาน!$D$18,IF(A52&gt;=สมมติฐาน!$D$17,สมมติฐาน!$D$16,0))*12*E52,0)</f>
        <v>0</v>
      </c>
      <c r="I52" s="26" t="n">
        <f aca="false">G52*สมมติฐาน!$D$21</f>
        <v>0</v>
      </c>
      <c r="J52" s="26" t="n">
        <f aca="false">IF(AND(D52="รับราชการ",A52&lt;=สมมติฐาน!$D$23),สมมติฐาน!$D$22*12*E52,0)</f>
        <v>0</v>
      </c>
      <c r="K52" s="26" t="n">
        <f aca="false">IF(AND(D52="รับราชการ",สมมติฐาน!$D$26&gt;0,A52&gt;=สมมติฐาน!$D$29,A52&lt;สมมติฐาน!$D$29+สมมติฐาน!$D$30),สมมติฐาน!$D$28*สมมติฐาน!$D$26*E52,0)</f>
        <v>0</v>
      </c>
      <c r="L52" s="26" t="n">
        <f aca="false">G52*สมมติฐาน!$D$20</f>
        <v>0</v>
      </c>
      <c r="M52" s="25" t="n">
        <f aca="false">(1+สมมติฐาน!$B$39)^(A52-1)*(1+สมมติฐาน!$B$40)^(A52-1)</f>
        <v>5.49053635500395</v>
      </c>
      <c r="N52" s="23" t="n">
        <f aca="false">A52-สมมติฐาน!$D$31</f>
        <v>36</v>
      </c>
      <c r="O52" s="23" t="n">
        <f aca="false">C52+สมมติฐาน!$D$32</f>
        <v>95</v>
      </c>
      <c r="P52" s="26" t="n">
        <f aca="false">(1+สมมติฐาน!$D$25)*สมมติฐาน!$B$37*LOOKUP(C52,สมมติฐาน!$A$59:$A$64,สมมติฐาน!$B$59:$B$64)*สมมติฐาน!$D$34*M52</f>
        <v>307470.035880221</v>
      </c>
      <c r="Q52" s="26" t="n">
        <f aca="false">IF(AND(สมมติฐาน!$D$26&gt;0,N52&gt;=0,N52&lt;=19),สมมติฐาน!$D$26*สมมติฐาน!$B$37*LOOKUP(MAX(N52,0),สมมติฐาน!$A$59:$A$64,สมมติฐาน!$B$59:$B$64)*สมมติฐาน!$D$34*M52,0)</f>
        <v>0</v>
      </c>
      <c r="R52" s="26" t="n">
        <f aca="false">IF(AND(สมมติฐาน!$D$27&gt;0,O52&lt;=สมมติฐาน!$D$33),สมมติฐาน!$D$27*สมมติฐาน!$B$37*LOOKUP(O52,สมมติฐาน!$A$59:$A$64,สมมติฐาน!$B$59:$B$64)*สมมติฐาน!$D$34*M52,0)</f>
        <v>0</v>
      </c>
      <c r="S52" s="26" t="n">
        <f aca="false">IF(D52="รับราชการ",0,$AD$6*12*(1+สมมติฐาน!$B$42)^(A52-36-1))</f>
        <v>1196352.85942189</v>
      </c>
      <c r="T52" s="26" t="n">
        <f aca="false">IF(C52=สมมติฐาน!$D$8,$AD$7,0)+IF(C52=65,$AD$9,0)+IF(C52=70,$AD$11,0)+IF(A52=62,$AD$12+$AD$13,0)</f>
        <v>0</v>
      </c>
      <c r="U52" s="26" t="n">
        <f aca="false">G52+H52+I52+J52+K52+L52+P52+Q52+R52+S52+T52</f>
        <v>1503822.89530211</v>
      </c>
      <c r="V52" s="26" t="n">
        <f aca="false">U52/E52</f>
        <v>641784.622259195</v>
      </c>
      <c r="W52" s="25" t="n">
        <f aca="false">1/(1+สมมติฐาน!$B$41)^(A52-1)</f>
        <v>0.426768753331332</v>
      </c>
      <c r="X52" s="26" t="n">
        <f aca="false">V52*W52</f>
        <v>273893.623148776</v>
      </c>
    </row>
    <row r="53" customFormat="false" ht="15" hidden="false" customHeight="true" outlineLevel="0" collapsed="false">
      <c r="A53" s="20" t="n">
        <v>45</v>
      </c>
      <c r="B53" s="20" t="n">
        <f aca="false">สมมติฐาน!$B$38+A53-1</f>
        <v>2613</v>
      </c>
      <c r="C53" s="20" t="n">
        <f aca="false">สมมติฐาน!$D$7+A53-1</f>
        <v>68</v>
      </c>
      <c r="D53" s="21" t="str">
        <f aca="false">IF(C53&lt;สมมติฐาน!$D$8,"รับราชการ","รับบำนาญ")</f>
        <v>รับบำนาญ</v>
      </c>
      <c r="E53" s="22" t="n">
        <f aca="false">(1+สมมติฐาน!$B$39)^(A53-1)</f>
        <v>2.3900531424523</v>
      </c>
      <c r="F53" s="14" t="n">
        <f aca="false">IF(D53="รับราชการ",สมมติฐาน!$D$13*(1+สมมติฐาน!$D$15)^(A53-1)*E53,0)</f>
        <v>0</v>
      </c>
      <c r="G53" s="14" t="n">
        <f aca="false">F53*12</f>
        <v>0</v>
      </c>
      <c r="H53" s="14" t="n">
        <f aca="false">IF(D53="รับราชการ",IF(A53&gt;=สมมติฐาน!$D$19,สมมติฐาน!$D$18,IF(A53&gt;=สมมติฐาน!$D$17,สมมติฐาน!$D$16,0))*12*E53,0)</f>
        <v>0</v>
      </c>
      <c r="I53" s="14" t="n">
        <f aca="false">G53*สมมติฐาน!$D$21</f>
        <v>0</v>
      </c>
      <c r="J53" s="14" t="n">
        <f aca="false">IF(AND(D53="รับราชการ",A53&lt;=สมมติฐาน!$D$23),สมมติฐาน!$D$22*12*E53,0)</f>
        <v>0</v>
      </c>
      <c r="K53" s="14" t="n">
        <f aca="false">IF(AND(D53="รับราชการ",สมมติฐาน!$D$26&gt;0,A53&gt;=สมมติฐาน!$D$29,A53&lt;สมมติฐาน!$D$29+สมมติฐาน!$D$30),สมมติฐาน!$D$28*สมมติฐาน!$D$26*E53,0)</f>
        <v>0</v>
      </c>
      <c r="L53" s="14" t="n">
        <f aca="false">G53*สมมติฐาน!$D$20</f>
        <v>0</v>
      </c>
      <c r="M53" s="22" t="n">
        <f aca="false">(1+สมมติฐาน!$B$39)^(A53-1)*(1+สมมติฐาน!$B$40)^(A53-1)</f>
        <v>5.71235402374611</v>
      </c>
      <c r="N53" s="20" t="n">
        <f aca="false">A53-สมมติฐาน!$D$31</f>
        <v>37</v>
      </c>
      <c r="O53" s="20" t="n">
        <f aca="false">C53+สมมติฐาน!$D$32</f>
        <v>96</v>
      </c>
      <c r="P53" s="14" t="n">
        <f aca="false">(1+สมมติฐาน!$D$25)*สมมติฐาน!$B$37*LOOKUP(C53,สมมติฐาน!$A$59:$A$64,สมมติฐาน!$B$59:$B$64)*สมมติฐาน!$D$34*M53</f>
        <v>319891.825329782</v>
      </c>
      <c r="Q53" s="14" t="n">
        <f aca="false">IF(AND(สมมติฐาน!$D$26&gt;0,N53&gt;=0,N53&lt;=19),สมมติฐาน!$D$26*สมมติฐาน!$B$37*LOOKUP(MAX(N53,0),สมมติฐาน!$A$59:$A$64,สมมติฐาน!$B$59:$B$64)*สมมติฐาน!$D$34*M53,0)</f>
        <v>0</v>
      </c>
      <c r="R53" s="14" t="n">
        <f aca="false">IF(AND(สมมติฐาน!$D$27&gt;0,O53&lt;=สมมติฐาน!$D$33),สมมติฐาน!$D$27*สมมติฐาน!$B$37*LOOKUP(O53,สมมติฐาน!$A$59:$A$64,สมมติฐาน!$B$59:$B$64)*สมมติฐาน!$D$34*M53,0)</f>
        <v>0</v>
      </c>
      <c r="S53" s="14" t="n">
        <f aca="false">IF(D53="รับราชการ",0,$AD$6*12*(1+สมมติฐาน!$B$42)^(A53-36-1))</f>
        <v>1208316.38801611</v>
      </c>
      <c r="T53" s="14" t="n">
        <f aca="false">IF(C53=สมมติฐาน!$D$8,$AD$7,0)+IF(C53=65,$AD$9,0)+IF(C53=70,$AD$11,0)+IF(A53=62,$AD$12+$AD$13,0)</f>
        <v>0</v>
      </c>
      <c r="U53" s="14" t="n">
        <f aca="false">G53+H53+I53+J53+K53+L53+P53+Q53+R53+S53+T53</f>
        <v>1528208.21334589</v>
      </c>
      <c r="V53" s="14" t="n">
        <f aca="false">U53/E53</f>
        <v>639403.445137576</v>
      </c>
      <c r="W53" s="22" t="n">
        <f aca="false">1/(1+สมมติฐาน!$B$41)^(A53-1)</f>
        <v>0.418400738560129</v>
      </c>
      <c r="X53" s="14" t="n">
        <f aca="false">V53*W53</f>
        <v>267526.873683453</v>
      </c>
    </row>
    <row r="54" customFormat="false" ht="15" hidden="false" customHeight="true" outlineLevel="0" collapsed="false">
      <c r="A54" s="23" t="n">
        <v>46</v>
      </c>
      <c r="B54" s="23" t="n">
        <f aca="false">สมมติฐาน!$B$38+A54-1</f>
        <v>2614</v>
      </c>
      <c r="C54" s="23" t="n">
        <f aca="false">สมมติฐาน!$D$7+A54-1</f>
        <v>69</v>
      </c>
      <c r="D54" s="24" t="str">
        <f aca="false">IF(C54&lt;สมมติฐาน!$D$8,"รับราชการ","รับบำนาญ")</f>
        <v>รับบำนาญ</v>
      </c>
      <c r="E54" s="25" t="n">
        <f aca="false">(1+สมมติฐาน!$B$39)^(A54-1)</f>
        <v>2.43785420530135</v>
      </c>
      <c r="F54" s="26" t="n">
        <f aca="false">IF(D54="รับราชการ",สมมติฐาน!$D$13*(1+สมมติฐาน!$D$15)^(A54-1)*E54,0)</f>
        <v>0</v>
      </c>
      <c r="G54" s="26" t="n">
        <f aca="false">F54*12</f>
        <v>0</v>
      </c>
      <c r="H54" s="26" t="n">
        <f aca="false">IF(D54="รับราชการ",IF(A54&gt;=สมมติฐาน!$D$19,สมมติฐาน!$D$18,IF(A54&gt;=สมมติฐาน!$D$17,สมมติฐาน!$D$16,0))*12*E54,0)</f>
        <v>0</v>
      </c>
      <c r="I54" s="26" t="n">
        <f aca="false">G54*สมมติฐาน!$D$21</f>
        <v>0</v>
      </c>
      <c r="J54" s="26" t="n">
        <f aca="false">IF(AND(D54="รับราชการ",A54&lt;=สมมติฐาน!$D$23),สมมติฐาน!$D$22*12*E54,0)</f>
        <v>0</v>
      </c>
      <c r="K54" s="26" t="n">
        <f aca="false">IF(AND(D54="รับราชการ",สมมติฐาน!$D$26&gt;0,A54&gt;=สมมติฐาน!$D$29,A54&lt;สมมติฐาน!$D$29+สมมติฐาน!$D$30),สมมติฐาน!$D$28*สมมติฐาน!$D$26*E54,0)</f>
        <v>0</v>
      </c>
      <c r="L54" s="26" t="n">
        <f aca="false">G54*สมมติฐาน!$D$20</f>
        <v>0</v>
      </c>
      <c r="M54" s="25" t="n">
        <f aca="false">(1+สมมติฐาน!$B$39)^(A54-1)*(1+สมมติฐาน!$B$40)^(A54-1)</f>
        <v>5.94313312630546</v>
      </c>
      <c r="N54" s="23" t="n">
        <f aca="false">A54-สมมติฐาน!$D$31</f>
        <v>38</v>
      </c>
      <c r="O54" s="23" t="n">
        <f aca="false">C54+สมมติฐาน!$D$32</f>
        <v>97</v>
      </c>
      <c r="P54" s="26" t="n">
        <f aca="false">(1+สมมติฐาน!$D$25)*สมมติฐาน!$B$37*LOOKUP(C54,สมมติฐาน!$A$59:$A$64,สมมติฐาน!$B$59:$B$64)*สมมติฐาน!$D$34*M54</f>
        <v>332815.455073106</v>
      </c>
      <c r="Q54" s="26" t="n">
        <f aca="false">IF(AND(สมมติฐาน!$D$26&gt;0,N54&gt;=0,N54&lt;=19),สมมติฐาน!$D$26*สมมติฐาน!$B$37*LOOKUP(MAX(N54,0),สมมติฐาน!$A$59:$A$64,สมมติฐาน!$B$59:$B$64)*สมมติฐาน!$D$34*M54,0)</f>
        <v>0</v>
      </c>
      <c r="R54" s="26" t="n">
        <f aca="false">IF(AND(สมมติฐาน!$D$27&gt;0,O54&lt;=สมมติฐาน!$D$33),สมมติฐาน!$D$27*สมมติฐาน!$B$37*LOOKUP(O54,สมมติฐาน!$A$59:$A$64,สมมติฐาน!$B$59:$B$64)*สมมติฐาน!$D$34*M54,0)</f>
        <v>0</v>
      </c>
      <c r="S54" s="26" t="n">
        <f aca="false">IF(D54="รับราชการ",0,$AD$6*12*(1+สมมติฐาน!$B$42)^(A54-36-1))</f>
        <v>1220399.55189627</v>
      </c>
      <c r="T54" s="26" t="n">
        <f aca="false">IF(C54=สมมติฐาน!$D$8,$AD$7,0)+IF(C54=65,$AD$9,0)+IF(C54=70,$AD$11,0)+IF(A54=62,$AD$12+$AD$13,0)</f>
        <v>0</v>
      </c>
      <c r="U54" s="26" t="n">
        <f aca="false">G54+H54+I54+J54+K54+L54+P54+Q54+R54+S54+T54</f>
        <v>1553215.00696937</v>
      </c>
      <c r="V54" s="26" t="n">
        <f aca="false">U54/E54</f>
        <v>637123.829469277</v>
      </c>
      <c r="W54" s="25" t="n">
        <f aca="false">1/(1+สมมติฐาน!$B$41)^(A54-1)</f>
        <v>0.410196802509931</v>
      </c>
      <c r="X54" s="26" t="n">
        <f aca="false">V54*W54</f>
        <v>261346.15765118</v>
      </c>
    </row>
    <row r="55" customFormat="false" ht="15" hidden="false" customHeight="true" outlineLevel="0" collapsed="false">
      <c r="A55" s="20" t="n">
        <v>47</v>
      </c>
      <c r="B55" s="20" t="n">
        <f aca="false">สมมติฐาน!$B$38+A55-1</f>
        <v>2615</v>
      </c>
      <c r="C55" s="20" t="n">
        <f aca="false">สมมติฐาน!$D$7+A55-1</f>
        <v>70</v>
      </c>
      <c r="D55" s="21" t="str">
        <f aca="false">IF(C55&lt;สมมติฐาน!$D$8,"รับราชการ","รับบำนาญ")</f>
        <v>รับบำนาญ</v>
      </c>
      <c r="E55" s="22" t="n">
        <f aca="false">(1+สมมติฐาน!$B$39)^(A55-1)</f>
        <v>2.48661128940737</v>
      </c>
      <c r="F55" s="14" t="n">
        <f aca="false">IF(D55="รับราชการ",สมมติฐาน!$D$13*(1+สมมติฐาน!$D$15)^(A55-1)*E55,0)</f>
        <v>0</v>
      </c>
      <c r="G55" s="14" t="n">
        <f aca="false">F55*12</f>
        <v>0</v>
      </c>
      <c r="H55" s="14" t="n">
        <f aca="false">IF(D55="รับราชการ",IF(A55&gt;=สมมติฐาน!$D$19,สมมติฐาน!$D$18,IF(A55&gt;=สมมติฐาน!$D$17,สมมติฐาน!$D$16,0))*12*E55,0)</f>
        <v>0</v>
      </c>
      <c r="I55" s="14" t="n">
        <f aca="false">G55*สมมติฐาน!$D$21</f>
        <v>0</v>
      </c>
      <c r="J55" s="14" t="n">
        <f aca="false">IF(AND(D55="รับราชการ",A55&lt;=สมมติฐาน!$D$23),สมมติฐาน!$D$22*12*E55,0)</f>
        <v>0</v>
      </c>
      <c r="K55" s="14" t="n">
        <f aca="false">IF(AND(D55="รับราชการ",สมมติฐาน!$D$26&gt;0,A55&gt;=สมมติฐาน!$D$29,A55&lt;สมมติฐาน!$D$29+สมมติฐาน!$D$30),สมมติฐาน!$D$28*สมมติฐาน!$D$26*E55,0)</f>
        <v>0</v>
      </c>
      <c r="L55" s="14" t="n">
        <f aca="false">G55*สมมติฐาน!$D$20</f>
        <v>0</v>
      </c>
      <c r="M55" s="22" t="n">
        <f aca="false">(1+สมมติฐาน!$B$39)^(A55-1)*(1+สมมติฐาน!$B$40)^(A55-1)</f>
        <v>6.1832357046082</v>
      </c>
      <c r="N55" s="20" t="n">
        <f aca="false">A55-สมมติฐาน!$D$31</f>
        <v>39</v>
      </c>
      <c r="O55" s="20" t="n">
        <f aca="false">C55+สมมติฐาน!$D$32</f>
        <v>98</v>
      </c>
      <c r="P55" s="14" t="n">
        <f aca="false">(1+สมมติฐาน!$D$25)*สมมติฐาน!$B$37*LOOKUP(C55,สมมติฐาน!$A$59:$A$64,สมมติฐาน!$B$59:$B$64)*สมมติฐาน!$D$34*M55</f>
        <v>556491.213414738</v>
      </c>
      <c r="Q55" s="14" t="n">
        <f aca="false">IF(AND(สมมติฐาน!$D$26&gt;0,N55&gt;=0,N55&lt;=19),สมมติฐาน!$D$26*สมมติฐาน!$B$37*LOOKUP(MAX(N55,0),สมมติฐาน!$A$59:$A$64,สมมติฐาน!$B$59:$B$64)*สมมติฐาน!$D$34*M55,0)</f>
        <v>0</v>
      </c>
      <c r="R55" s="14" t="n">
        <f aca="false">IF(AND(สมมติฐาน!$D$27&gt;0,O55&lt;=สมมติฐาน!$D$33),สมมติฐาน!$D$27*สมมติฐาน!$B$37*LOOKUP(O55,สมมติฐาน!$A$59:$A$64,สมมติฐาน!$B$59:$B$64)*สมมติฐาน!$D$34*M55,0)</f>
        <v>0</v>
      </c>
      <c r="S55" s="14" t="n">
        <f aca="false">IF(D55="รับราชการ",0,$AD$6*12*(1+สมมติฐาน!$B$42)^(A55-36-1))</f>
        <v>1232603.54741523</v>
      </c>
      <c r="T55" s="14" t="n">
        <f aca="false">IF(C55=สมมติฐาน!$D$8,$AD$7,0)+IF(C55=65,$AD$9,0)+IF(C55=70,$AD$11,0)+IF(A55=62,$AD$12+$AD$13,0)</f>
        <v>100000</v>
      </c>
      <c r="U55" s="14" t="n">
        <f aca="false">G55+H55+I55+J55+K55+L55+P55+Q55+R55+S55+T55</f>
        <v>1889094.76082997</v>
      </c>
      <c r="V55" s="14" t="n">
        <f aca="false">U55/E55</f>
        <v>759706.500520309</v>
      </c>
      <c r="W55" s="22" t="n">
        <f aca="false">1/(1+สมมติฐาน!$B$41)^(A55-1)</f>
        <v>0.402153727950912</v>
      </c>
      <c r="X55" s="14" t="n">
        <f aca="false">V55*W55</f>
        <v>305518.801332784</v>
      </c>
    </row>
    <row r="56" customFormat="false" ht="15" hidden="false" customHeight="true" outlineLevel="0" collapsed="false">
      <c r="A56" s="23" t="n">
        <v>48</v>
      </c>
      <c r="B56" s="23" t="n">
        <f aca="false">สมมติฐาน!$B$38+A56-1</f>
        <v>2616</v>
      </c>
      <c r="C56" s="23" t="n">
        <f aca="false">สมมติฐาน!$D$7+A56-1</f>
        <v>71</v>
      </c>
      <c r="D56" s="24" t="str">
        <f aca="false">IF(C56&lt;สมมติฐาน!$D$8,"รับราชการ","รับบำนาญ")</f>
        <v>รับบำนาญ</v>
      </c>
      <c r="E56" s="25" t="n">
        <f aca="false">(1+สมมติฐาน!$B$39)^(A56-1)</f>
        <v>2.53634351519552</v>
      </c>
      <c r="F56" s="26" t="n">
        <f aca="false">IF(D56="รับราชการ",สมมติฐาน!$D$13*(1+สมมติฐาน!$D$15)^(A56-1)*E56,0)</f>
        <v>0</v>
      </c>
      <c r="G56" s="26" t="n">
        <f aca="false">F56*12</f>
        <v>0</v>
      </c>
      <c r="H56" s="26" t="n">
        <f aca="false">IF(D56="รับราชการ",IF(A56&gt;=สมมติฐาน!$D$19,สมมติฐาน!$D$18,IF(A56&gt;=สมมติฐาน!$D$17,สมมติฐาน!$D$16,0))*12*E56,0)</f>
        <v>0</v>
      </c>
      <c r="I56" s="26" t="n">
        <f aca="false">G56*สมมติฐาน!$D$21</f>
        <v>0</v>
      </c>
      <c r="J56" s="26" t="n">
        <f aca="false">IF(AND(D56="รับราชการ",A56&lt;=สมมติฐาน!$D$23),สมมติฐาน!$D$22*12*E56,0)</f>
        <v>0</v>
      </c>
      <c r="K56" s="26" t="n">
        <f aca="false">IF(AND(D56="รับราชการ",สมมติฐาน!$D$26&gt;0,A56&gt;=สมมติฐาน!$D$29,A56&lt;สมมติฐาน!$D$29+สมมติฐาน!$D$30),สมมติฐาน!$D$28*สมมติฐาน!$D$26*E56,0)</f>
        <v>0</v>
      </c>
      <c r="L56" s="26" t="n">
        <f aca="false">G56*สมมติฐาน!$D$20</f>
        <v>0</v>
      </c>
      <c r="M56" s="25" t="n">
        <f aca="false">(1+สมมติฐาน!$B$39)^(A56-1)*(1+สมมติฐาน!$B$40)^(A56-1)</f>
        <v>6.43303842707437</v>
      </c>
      <c r="N56" s="23" t="n">
        <f aca="false">A56-สมมติฐาน!$D$31</f>
        <v>40</v>
      </c>
      <c r="O56" s="23" t="n">
        <f aca="false">C56+สมมติฐาน!$D$32</f>
        <v>99</v>
      </c>
      <c r="P56" s="26" t="n">
        <f aca="false">(1+สมมติฐาน!$D$25)*สมมติฐาน!$B$37*LOOKUP(C56,สมมติฐาน!$A$59:$A$64,สมมติฐาน!$B$59:$B$64)*สมมติฐาน!$D$34*M56</f>
        <v>578973.458436693</v>
      </c>
      <c r="Q56" s="26" t="n">
        <f aca="false">IF(AND(สมมติฐาน!$D$26&gt;0,N56&gt;=0,N56&lt;=19),สมมติฐาน!$D$26*สมมติฐาน!$B$37*LOOKUP(MAX(N56,0),สมมติฐาน!$A$59:$A$64,สมมติฐาน!$B$59:$B$64)*สมมติฐาน!$D$34*M56,0)</f>
        <v>0</v>
      </c>
      <c r="R56" s="26" t="n">
        <f aca="false">IF(AND(สมมติฐาน!$D$27&gt;0,O56&lt;=สมมติฐาน!$D$33),สมมติฐาน!$D$27*สมมติฐาน!$B$37*LOOKUP(O56,สมมติฐาน!$A$59:$A$64,สมมติฐาน!$B$59:$B$64)*สมมติฐาน!$D$34*M56,0)</f>
        <v>0</v>
      </c>
      <c r="S56" s="26" t="n">
        <f aca="false">IF(D56="รับราชการ",0,$AD$6*12*(1+สมมติฐาน!$B$42)^(A56-36-1))</f>
        <v>1244929.58288938</v>
      </c>
      <c r="T56" s="26" t="n">
        <f aca="false">IF(C56=สมมติฐาน!$D$8,$AD$7,0)+IF(C56=65,$AD$9,0)+IF(C56=70,$AD$11,0)+IF(A56=62,$AD$12+$AD$13,0)</f>
        <v>0</v>
      </c>
      <c r="U56" s="26" t="n">
        <f aca="false">G56+H56+I56+J56+K56+L56+P56+Q56+R56+S56+T56</f>
        <v>1823903.04132608</v>
      </c>
      <c r="V56" s="26" t="n">
        <f aca="false">U56/E56</f>
        <v>719107.262245381</v>
      </c>
      <c r="W56" s="25" t="n">
        <f aca="false">1/(1+สมมติฐาน!$B$41)^(A56-1)</f>
        <v>0.394268360736189</v>
      </c>
      <c r="X56" s="26" t="n">
        <f aca="false">V56*W56</f>
        <v>283521.241478975</v>
      </c>
    </row>
    <row r="57" customFormat="false" ht="15" hidden="false" customHeight="true" outlineLevel="0" collapsed="false">
      <c r="A57" s="20" t="n">
        <v>49</v>
      </c>
      <c r="B57" s="20" t="n">
        <f aca="false">สมมติฐาน!$B$38+A57-1</f>
        <v>2617</v>
      </c>
      <c r="C57" s="20" t="n">
        <f aca="false">สมมติฐาน!$D$7+A57-1</f>
        <v>72</v>
      </c>
      <c r="D57" s="21" t="str">
        <f aca="false">IF(C57&lt;สมมติฐาน!$D$8,"รับราชการ","รับบำนาญ")</f>
        <v>รับบำนาญ</v>
      </c>
      <c r="E57" s="22" t="n">
        <f aca="false">(1+สมมติฐาน!$B$39)^(A57-1)</f>
        <v>2.58707038549943</v>
      </c>
      <c r="F57" s="14" t="n">
        <f aca="false">IF(D57="รับราชการ",สมมติฐาน!$D$13*(1+สมมติฐาน!$D$15)^(A57-1)*E57,0)</f>
        <v>0</v>
      </c>
      <c r="G57" s="14" t="n">
        <f aca="false">F57*12</f>
        <v>0</v>
      </c>
      <c r="H57" s="14" t="n">
        <f aca="false">IF(D57="รับราชการ",IF(A57&gt;=สมมติฐาน!$D$19,สมมติฐาน!$D$18,IF(A57&gt;=สมมติฐาน!$D$17,สมมติฐาน!$D$16,0))*12*E57,0)</f>
        <v>0</v>
      </c>
      <c r="I57" s="14" t="n">
        <f aca="false">G57*สมมติฐาน!$D$21</f>
        <v>0</v>
      </c>
      <c r="J57" s="14" t="n">
        <f aca="false">IF(AND(D57="รับราชการ",A57&lt;=สมมติฐาน!$D$23),สมมติฐาน!$D$22*12*E57,0)</f>
        <v>0</v>
      </c>
      <c r="K57" s="14" t="n">
        <f aca="false">IF(AND(D57="รับราชการ",สมมติฐาน!$D$26&gt;0,A57&gt;=สมมติฐาน!$D$29,A57&lt;สมมติฐาน!$D$29+สมมติฐาน!$D$30),สมมติฐาน!$D$28*สมมติฐาน!$D$26*E57,0)</f>
        <v>0</v>
      </c>
      <c r="L57" s="14" t="n">
        <f aca="false">G57*สมมติฐาน!$D$20</f>
        <v>0</v>
      </c>
      <c r="M57" s="22" t="n">
        <f aca="false">(1+สมมติฐาน!$B$39)^(A57-1)*(1+สมมติฐาน!$B$40)^(A57-1)</f>
        <v>6.69293317952817</v>
      </c>
      <c r="N57" s="20" t="n">
        <f aca="false">A57-สมมติฐาน!$D$31</f>
        <v>41</v>
      </c>
      <c r="O57" s="20" t="n">
        <f aca="false">C57+สมมติฐาน!$D$32</f>
        <v>100</v>
      </c>
      <c r="P57" s="14" t="n">
        <f aca="false">(1+สมมติฐาน!$D$25)*สมมติฐาน!$B$37*LOOKUP(C57,สมมติฐาน!$A$59:$A$64,สมมติฐาน!$B$59:$B$64)*สมมติฐาน!$D$34*M57</f>
        <v>602363.986157536</v>
      </c>
      <c r="Q57" s="14" t="n">
        <f aca="false">IF(AND(สมมติฐาน!$D$26&gt;0,N57&gt;=0,N57&lt;=19),สมมติฐาน!$D$26*สมมติฐาน!$B$37*LOOKUP(MAX(N57,0),สมมติฐาน!$A$59:$A$64,สมมติฐาน!$B$59:$B$64)*สมมติฐาน!$D$34*M57,0)</f>
        <v>0</v>
      </c>
      <c r="R57" s="14" t="n">
        <f aca="false">IF(AND(สมมติฐาน!$D$27&gt;0,O57&lt;=สมมติฐาน!$D$33),สมมติฐาน!$D$27*สมมติฐาน!$B$37*LOOKUP(O57,สมมติฐาน!$A$59:$A$64,สมมติฐาน!$B$59:$B$64)*สมมติฐาน!$D$34*M57,0)</f>
        <v>0</v>
      </c>
      <c r="S57" s="14" t="n">
        <f aca="false">IF(D57="รับราชการ",0,$AD$6*12*(1+สมมติฐาน!$B$42)^(A57-36-1))</f>
        <v>1257378.87871828</v>
      </c>
      <c r="T57" s="14" t="n">
        <f aca="false">IF(C57=สมมติฐาน!$D$8,$AD$7,0)+IF(C57=65,$AD$9,0)+IF(C57=70,$AD$11,0)+IF(A57=62,$AD$12+$AD$13,0)</f>
        <v>0</v>
      </c>
      <c r="U57" s="14" t="n">
        <f aca="false">G57+H57+I57+J57+K57+L57+P57+Q57+R57+S57+T57</f>
        <v>1859742.86487581</v>
      </c>
      <c r="V57" s="14" t="n">
        <f aca="false">U57/E57</f>
        <v>718860.559534715</v>
      </c>
      <c r="W57" s="22" t="n">
        <f aca="false">1/(1+สมมติฐาน!$B$41)^(A57-1)</f>
        <v>0.386537608564891</v>
      </c>
      <c r="X57" s="14" t="n">
        <f aca="false">V57*W57</f>
        <v>277866.641574168</v>
      </c>
    </row>
    <row r="58" customFormat="false" ht="15" hidden="false" customHeight="true" outlineLevel="0" collapsed="false">
      <c r="A58" s="23" t="n">
        <v>50</v>
      </c>
      <c r="B58" s="23" t="n">
        <f aca="false">สมมติฐาน!$B$38+A58-1</f>
        <v>2618</v>
      </c>
      <c r="C58" s="23" t="n">
        <f aca="false">สมมติฐาน!$D$7+A58-1</f>
        <v>73</v>
      </c>
      <c r="D58" s="24" t="str">
        <f aca="false">IF(C58&lt;สมมติฐาน!$D$8,"รับราชการ","รับบำนาญ")</f>
        <v>รับบำนาญ</v>
      </c>
      <c r="E58" s="25" t="n">
        <f aca="false">(1+สมมติฐาน!$B$39)^(A58-1)</f>
        <v>2.63881179320942</v>
      </c>
      <c r="F58" s="26" t="n">
        <f aca="false">IF(D58="รับราชการ",สมมติฐาน!$D$13*(1+สมมติฐาน!$D$15)^(A58-1)*E58,0)</f>
        <v>0</v>
      </c>
      <c r="G58" s="26" t="n">
        <f aca="false">F58*12</f>
        <v>0</v>
      </c>
      <c r="H58" s="26" t="n">
        <f aca="false">IF(D58="รับราชการ",IF(A58&gt;=สมมติฐาน!$D$19,สมมติฐาน!$D$18,IF(A58&gt;=สมมติฐาน!$D$17,สมมติฐาน!$D$16,0))*12*E58,0)</f>
        <v>0</v>
      </c>
      <c r="I58" s="26" t="n">
        <f aca="false">G58*สมมติฐาน!$D$21</f>
        <v>0</v>
      </c>
      <c r="J58" s="26" t="n">
        <f aca="false">IF(AND(D58="รับราชการ",A58&lt;=สมมติฐาน!$D$23),สมมติฐาน!$D$22*12*E58,0)</f>
        <v>0</v>
      </c>
      <c r="K58" s="26" t="n">
        <f aca="false">IF(AND(D58="รับราชการ",สมมติฐาน!$D$26&gt;0,A58&gt;=สมมติฐาน!$D$29,A58&lt;สมมติฐาน!$D$29+สมมติฐาน!$D$30),สมมติฐาน!$D$28*สมมติฐาน!$D$26*E58,0)</f>
        <v>0</v>
      </c>
      <c r="L58" s="26" t="n">
        <f aca="false">G58*สมมติฐาน!$D$20</f>
        <v>0</v>
      </c>
      <c r="M58" s="25" t="n">
        <f aca="false">(1+สมมติฐาน!$B$39)^(A58-1)*(1+สมมติฐาน!$B$40)^(A58-1)</f>
        <v>6.96332767998111</v>
      </c>
      <c r="N58" s="23" t="n">
        <f aca="false">A58-สมมติฐาน!$D$31</f>
        <v>42</v>
      </c>
      <c r="O58" s="23" t="n">
        <f aca="false">C58+สมมติฐาน!$D$32</f>
        <v>101</v>
      </c>
      <c r="P58" s="26" t="n">
        <f aca="false">(1+สมมติฐาน!$D$25)*สมมติฐาน!$B$37*LOOKUP(C58,สมมติฐาน!$A$59:$A$64,สมมติฐาน!$B$59:$B$64)*สมมติฐาน!$D$34*M58</f>
        <v>626699.4911983</v>
      </c>
      <c r="Q58" s="26" t="n">
        <f aca="false">IF(AND(สมมติฐาน!$D$26&gt;0,N58&gt;=0,N58&lt;=19),สมมติฐาน!$D$26*สมมติฐาน!$B$37*LOOKUP(MAX(N58,0),สมมติฐาน!$A$59:$A$64,สมมติฐาน!$B$59:$B$64)*สมมติฐาน!$D$34*M58,0)</f>
        <v>0</v>
      </c>
      <c r="R58" s="26" t="n">
        <f aca="false">IF(AND(สมมติฐาน!$D$27&gt;0,O58&lt;=สมมติฐาน!$D$33),สมมติฐาน!$D$27*สมมติฐาน!$B$37*LOOKUP(O58,สมมติฐาน!$A$59:$A$64,สมมติฐาน!$B$59:$B$64)*สมมติฐาน!$D$34*M58,0)</f>
        <v>0</v>
      </c>
      <c r="S58" s="26" t="n">
        <f aca="false">IF(D58="รับราชการ",0,$AD$6*12*(1+สมมติฐาน!$B$42)^(A58-36-1))</f>
        <v>1269952.66750546</v>
      </c>
      <c r="T58" s="26" t="n">
        <f aca="false">IF(C58=สมมติฐาน!$D$8,$AD$7,0)+IF(C58=65,$AD$9,0)+IF(C58=70,$AD$11,0)+IF(A58=62,$AD$12+$AD$13,0)</f>
        <v>0</v>
      </c>
      <c r="U58" s="26" t="n">
        <f aca="false">G58+H58+I58+J58+K58+L58+P58+Q58+R58+S58+T58</f>
        <v>1896652.15870376</v>
      </c>
      <c r="V58" s="26" t="n">
        <f aca="false">U58/E58</f>
        <v>718752.342847832</v>
      </c>
      <c r="W58" s="25" t="n">
        <f aca="false">1/(1+สมมติฐาน!$B$41)^(A58-1)</f>
        <v>0.378958439769501</v>
      </c>
      <c r="X58" s="26" t="n">
        <f aca="false">V58*W58</f>
        <v>272377.266426288</v>
      </c>
    </row>
    <row r="59" customFormat="false" ht="15" hidden="false" customHeight="true" outlineLevel="0" collapsed="false">
      <c r="A59" s="20" t="n">
        <v>51</v>
      </c>
      <c r="B59" s="20" t="n">
        <f aca="false">สมมติฐาน!$B$38+A59-1</f>
        <v>2619</v>
      </c>
      <c r="C59" s="20" t="n">
        <f aca="false">สมมติฐาน!$D$7+A59-1</f>
        <v>74</v>
      </c>
      <c r="D59" s="21" t="str">
        <f aca="false">IF(C59&lt;สมมติฐาน!$D$8,"รับราชการ","รับบำนาญ")</f>
        <v>รับบำนาญ</v>
      </c>
      <c r="E59" s="22" t="n">
        <f aca="false">(1+สมมติฐาน!$B$39)^(A59-1)</f>
        <v>2.69158802907361</v>
      </c>
      <c r="F59" s="14" t="n">
        <f aca="false">IF(D59="รับราชการ",สมมติฐาน!$D$13*(1+สมมติฐาน!$D$15)^(A59-1)*E59,0)</f>
        <v>0</v>
      </c>
      <c r="G59" s="14" t="n">
        <f aca="false">F59*12</f>
        <v>0</v>
      </c>
      <c r="H59" s="14" t="n">
        <f aca="false">IF(D59="รับราชการ",IF(A59&gt;=สมมติฐาน!$D$19,สมมติฐาน!$D$18,IF(A59&gt;=สมมติฐาน!$D$17,สมมติฐาน!$D$16,0))*12*E59,0)</f>
        <v>0</v>
      </c>
      <c r="I59" s="14" t="n">
        <f aca="false">G59*สมมติฐาน!$D$21</f>
        <v>0</v>
      </c>
      <c r="J59" s="14" t="n">
        <f aca="false">IF(AND(D59="รับราชการ",A59&lt;=สมมติฐาน!$D$23),สมมติฐาน!$D$22*12*E59,0)</f>
        <v>0</v>
      </c>
      <c r="K59" s="14" t="n">
        <f aca="false">IF(AND(D59="รับราชการ",สมมติฐาน!$D$26&gt;0,A59&gt;=สมมติฐาน!$D$29,A59&lt;สมมติฐาน!$D$29+สมมติฐาน!$D$30),สมมติฐาน!$D$28*สมมติฐาน!$D$26*E59,0)</f>
        <v>0</v>
      </c>
      <c r="L59" s="14" t="n">
        <f aca="false">G59*สมมติฐาน!$D$20</f>
        <v>0</v>
      </c>
      <c r="M59" s="22" t="n">
        <f aca="false">(1+สมมติฐาน!$B$39)^(A59-1)*(1+สมมติฐาน!$B$40)^(A59-1)</f>
        <v>7.24464611825235</v>
      </c>
      <c r="N59" s="20" t="n">
        <f aca="false">A59-สมมติฐาน!$D$31</f>
        <v>43</v>
      </c>
      <c r="O59" s="20" t="n">
        <f aca="false">C59+สมมติฐาน!$D$32</f>
        <v>102</v>
      </c>
      <c r="P59" s="14" t="n">
        <f aca="false">(1+สมมติฐาน!$D$25)*สมมติฐาน!$B$37*LOOKUP(C59,สมมติฐาน!$A$59:$A$64,สมมติฐาน!$B$59:$B$64)*สมมติฐาน!$D$34*M59</f>
        <v>652018.150642711</v>
      </c>
      <c r="Q59" s="14" t="n">
        <f aca="false">IF(AND(สมมติฐาน!$D$26&gt;0,N59&gt;=0,N59&lt;=19),สมมติฐาน!$D$26*สมมติฐาน!$B$37*LOOKUP(MAX(N59,0),สมมติฐาน!$A$59:$A$64,สมมติฐาน!$B$59:$B$64)*สมมติฐาน!$D$34*M59,0)</f>
        <v>0</v>
      </c>
      <c r="R59" s="14" t="n">
        <f aca="false">IF(AND(สมมติฐาน!$D$27&gt;0,O59&lt;=สมมติฐาน!$D$33),สมมติฐาน!$D$27*สมมติฐาน!$B$37*LOOKUP(O59,สมมติฐาน!$A$59:$A$64,สมมติฐาน!$B$59:$B$64)*สมมติฐาน!$D$34*M59,0)</f>
        <v>0</v>
      </c>
      <c r="S59" s="14" t="n">
        <f aca="false">IF(D59="รับราชการ",0,$AD$6*12*(1+สมมติฐาน!$B$42)^(A59-36-1))</f>
        <v>1282652.19418051</v>
      </c>
      <c r="T59" s="14" t="n">
        <f aca="false">IF(C59=สมมติฐาน!$D$8,$AD$7,0)+IF(C59=65,$AD$9,0)+IF(C59=70,$AD$11,0)+IF(A59=62,$AD$12+$AD$13,0)</f>
        <v>0</v>
      </c>
      <c r="U59" s="14" t="n">
        <f aca="false">G59+H59+I59+J59+K59+L59+P59+Q59+R59+S59+T59</f>
        <v>1934670.34482323</v>
      </c>
      <c r="V59" s="14" t="n">
        <f aca="false">U59/E59</f>
        <v>718783.975826011</v>
      </c>
      <c r="W59" s="22" t="n">
        <f aca="false">1/(1+สมมติฐาน!$B$41)^(A59-1)</f>
        <v>0.371527882126962</v>
      </c>
      <c r="X59" s="14" t="n">
        <f aca="false">V59*W59</f>
        <v>267048.288245435</v>
      </c>
    </row>
    <row r="60" customFormat="false" ht="15" hidden="false" customHeight="true" outlineLevel="0" collapsed="false">
      <c r="A60" s="23" t="n">
        <v>52</v>
      </c>
      <c r="B60" s="23" t="n">
        <f aca="false">สมมติฐาน!$B$38+A60-1</f>
        <v>2620</v>
      </c>
      <c r="C60" s="23" t="n">
        <f aca="false">สมมติฐาน!$D$7+A60-1</f>
        <v>75</v>
      </c>
      <c r="D60" s="24" t="str">
        <f aca="false">IF(C60&lt;สมมติฐาน!$D$8,"รับราชการ","รับบำนาญ")</f>
        <v>รับบำนาญ</v>
      </c>
      <c r="E60" s="25" t="n">
        <f aca="false">(1+สมมติฐาน!$B$39)^(A60-1)</f>
        <v>2.74541978965508</v>
      </c>
      <c r="F60" s="26" t="n">
        <f aca="false">IF(D60="รับราชการ",สมมติฐาน!$D$13*(1+สมมติฐาน!$D$15)^(A60-1)*E60,0)</f>
        <v>0</v>
      </c>
      <c r="G60" s="26" t="n">
        <f aca="false">F60*12</f>
        <v>0</v>
      </c>
      <c r="H60" s="26" t="n">
        <f aca="false">IF(D60="รับราชการ",IF(A60&gt;=สมมติฐาน!$D$19,สมมติฐาน!$D$18,IF(A60&gt;=สมมติฐาน!$D$17,สมมติฐาน!$D$16,0))*12*E60,0)</f>
        <v>0</v>
      </c>
      <c r="I60" s="26" t="n">
        <f aca="false">G60*สมมติฐาน!$D$21</f>
        <v>0</v>
      </c>
      <c r="J60" s="26" t="n">
        <f aca="false">IF(AND(D60="รับราชการ",A60&lt;=สมมติฐาน!$D$23),สมมติฐาน!$D$22*12*E60,0)</f>
        <v>0</v>
      </c>
      <c r="K60" s="26" t="n">
        <f aca="false">IF(AND(D60="รับราชการ",สมมติฐาน!$D$26&gt;0,A60&gt;=สมมติฐาน!$D$29,A60&lt;สมมติฐาน!$D$29+สมมติฐาน!$D$30),สมมติฐาน!$D$28*สมมติฐาน!$D$26*E60,0)</f>
        <v>0</v>
      </c>
      <c r="L60" s="26" t="n">
        <f aca="false">G60*สมมติฐาน!$D$20</f>
        <v>0</v>
      </c>
      <c r="M60" s="25" t="n">
        <f aca="false">(1+สมมติฐาน!$B$39)^(A60-1)*(1+สมมติฐาน!$B$40)^(A60-1)</f>
        <v>7.53732982142974</v>
      </c>
      <c r="N60" s="23" t="n">
        <f aca="false">A60-สมมติฐาน!$D$31</f>
        <v>44</v>
      </c>
      <c r="O60" s="23" t="n">
        <f aca="false">C60+สมมติฐาน!$D$32</f>
        <v>103</v>
      </c>
      <c r="P60" s="26" t="n">
        <f aca="false">(1+สมมติฐาน!$D$25)*สมมติฐาน!$B$37*LOOKUP(C60,สมมติฐาน!$A$59:$A$64,สมมติฐาน!$B$59:$B$64)*สมมติฐาน!$D$34*M60</f>
        <v>678359.683928677</v>
      </c>
      <c r="Q60" s="26" t="n">
        <f aca="false">IF(AND(สมมติฐาน!$D$26&gt;0,N60&gt;=0,N60&lt;=19),สมมติฐาน!$D$26*สมมติฐาน!$B$37*LOOKUP(MAX(N60,0),สมมติฐาน!$A$59:$A$64,สมมติฐาน!$B$59:$B$64)*สมมติฐาน!$D$34*M60,0)</f>
        <v>0</v>
      </c>
      <c r="R60" s="26" t="n">
        <f aca="false">IF(AND(สมมติฐาน!$D$27&gt;0,O60&lt;=สมมติฐาน!$D$33),สมมติฐาน!$D$27*สมมติฐาน!$B$37*LOOKUP(O60,สมมติฐาน!$A$59:$A$64,สมมติฐาน!$B$59:$B$64)*สมมติฐาน!$D$34*M60,0)</f>
        <v>0</v>
      </c>
      <c r="S60" s="26" t="n">
        <f aca="false">IF(D60="รับราชการ",0,$AD$6*12*(1+สมมติฐาน!$B$42)^(A60-36-1))</f>
        <v>1295478.71612232</v>
      </c>
      <c r="T60" s="26" t="n">
        <f aca="false">IF(C60=สมมติฐาน!$D$8,$AD$7,0)+IF(C60=65,$AD$9,0)+IF(C60=70,$AD$11,0)+IF(A60=62,$AD$12+$AD$13,0)</f>
        <v>0</v>
      </c>
      <c r="U60" s="26" t="n">
        <f aca="false">G60+H60+I60+J60+K60+L60+P60+Q60+R60+S60+T60</f>
        <v>1973838.400051</v>
      </c>
      <c r="V60" s="26" t="n">
        <f aca="false">U60/E60</f>
        <v>718956.863168448</v>
      </c>
      <c r="W60" s="25" t="n">
        <f aca="false">1/(1+สมมติฐาน!$B$41)^(A60-1)</f>
        <v>0.3642430216931</v>
      </c>
      <c r="X60" s="26" t="n">
        <f aca="false">V60*W60</f>
        <v>261875.020307468</v>
      </c>
    </row>
    <row r="61" customFormat="false" ht="15" hidden="false" customHeight="true" outlineLevel="0" collapsed="false">
      <c r="A61" s="20" t="n">
        <v>53</v>
      </c>
      <c r="B61" s="20" t="n">
        <f aca="false">สมมติฐาน!$B$38+A61-1</f>
        <v>2621</v>
      </c>
      <c r="C61" s="20" t="n">
        <f aca="false">สมมติฐาน!$D$7+A61-1</f>
        <v>76</v>
      </c>
      <c r="D61" s="21" t="str">
        <f aca="false">IF(C61&lt;สมมติฐาน!$D$8,"รับราชการ","รับบำนาญ")</f>
        <v>รับบำนาญ</v>
      </c>
      <c r="E61" s="22" t="n">
        <f aca="false">(1+สมมติฐาน!$B$39)^(A61-1)</f>
        <v>2.80032818544818</v>
      </c>
      <c r="F61" s="14" t="n">
        <f aca="false">IF(D61="รับราชการ",สมมติฐาน!$D$13*(1+สมมติฐาน!$D$15)^(A61-1)*E61,0)</f>
        <v>0</v>
      </c>
      <c r="G61" s="14" t="n">
        <f aca="false">F61*12</f>
        <v>0</v>
      </c>
      <c r="H61" s="14" t="n">
        <f aca="false">IF(D61="รับราชการ",IF(A61&gt;=สมมติฐาน!$D$19,สมมติฐาน!$D$18,IF(A61&gt;=สมมติฐาน!$D$17,สมมติฐาน!$D$16,0))*12*E61,0)</f>
        <v>0</v>
      </c>
      <c r="I61" s="14" t="n">
        <f aca="false">G61*สมมติฐาน!$D$21</f>
        <v>0</v>
      </c>
      <c r="J61" s="14" t="n">
        <f aca="false">IF(AND(D61="รับราชการ",A61&lt;=สมมติฐาน!$D$23),สมมติฐาน!$D$22*12*E61,0)</f>
        <v>0</v>
      </c>
      <c r="K61" s="14" t="n">
        <f aca="false">IF(AND(D61="รับราชการ",สมมติฐาน!$D$26&gt;0,A61&gt;=สมมติฐาน!$D$29,A61&lt;สมมติฐาน!$D$29+สมมติฐาน!$D$30),สมมติฐาน!$D$28*สมมติฐาน!$D$26*E61,0)</f>
        <v>0</v>
      </c>
      <c r="L61" s="14" t="n">
        <f aca="false">G61*สมมติฐาน!$D$20</f>
        <v>0</v>
      </c>
      <c r="M61" s="22" t="n">
        <f aca="false">(1+สมมติฐาน!$B$39)^(A61-1)*(1+สมมติฐาน!$B$40)^(A61-1)</f>
        <v>7.84183794621551</v>
      </c>
      <c r="N61" s="20" t="n">
        <f aca="false">A61-สมมติฐาน!$D$31</f>
        <v>45</v>
      </c>
      <c r="O61" s="20" t="n">
        <f aca="false">C61+สมมติฐาน!$D$32</f>
        <v>104</v>
      </c>
      <c r="P61" s="14" t="n">
        <f aca="false">(1+สมมติฐาน!$D$25)*สมมติฐาน!$B$37*LOOKUP(C61,สมมติฐาน!$A$59:$A$64,สมมติฐาน!$B$59:$B$64)*สมมติฐาน!$D$34*M61</f>
        <v>705765.415159396</v>
      </c>
      <c r="Q61" s="14" t="n">
        <f aca="false">IF(AND(สมมติฐาน!$D$26&gt;0,N61&gt;=0,N61&lt;=19),สมมติฐาน!$D$26*สมมติฐาน!$B$37*LOOKUP(MAX(N61,0),สมมติฐาน!$A$59:$A$64,สมมติฐาน!$B$59:$B$64)*สมมติฐาน!$D$34*M61,0)</f>
        <v>0</v>
      </c>
      <c r="R61" s="14" t="n">
        <f aca="false">IF(AND(สมมติฐาน!$D$27&gt;0,O61&lt;=สมมติฐาน!$D$33),สมมติฐาน!$D$27*สมมติฐาน!$B$37*LOOKUP(O61,สมมติฐาน!$A$59:$A$64,สมมติฐาน!$B$59:$B$64)*สมมติฐาน!$D$34*M61,0)</f>
        <v>0</v>
      </c>
      <c r="S61" s="14" t="n">
        <f aca="false">IF(D61="รับราชการ",0,$AD$6*12*(1+สมมติฐาน!$B$42)^(A61-36-1))</f>
        <v>1308433.50328354</v>
      </c>
      <c r="T61" s="14" t="n">
        <f aca="false">IF(C61=สมมติฐาน!$D$8,$AD$7,0)+IF(C61=65,$AD$9,0)+IF(C61=70,$AD$11,0)+IF(A61=62,$AD$12+$AD$13,0)</f>
        <v>0</v>
      </c>
      <c r="U61" s="14" t="n">
        <f aca="false">G61+H61+I61+J61+K61+L61+P61+Q61+R61+S61+T61</f>
        <v>2014198.91844294</v>
      </c>
      <c r="V61" s="14" t="n">
        <f aca="false">U61/E61</f>
        <v>719272.451318263</v>
      </c>
      <c r="W61" s="22" t="n">
        <f aca="false">1/(1+สมมติฐาน!$B$41)^(A61-1)</f>
        <v>0.357101001659902</v>
      </c>
      <c r="X61" s="14" t="n">
        <f aca="false">V61*W61</f>
        <v>256852.912832125</v>
      </c>
    </row>
    <row r="62" customFormat="false" ht="15" hidden="false" customHeight="true" outlineLevel="0" collapsed="false">
      <c r="A62" s="23" t="n">
        <v>54</v>
      </c>
      <c r="B62" s="23" t="n">
        <f aca="false">สมมติฐาน!$B$38+A62-1</f>
        <v>2622</v>
      </c>
      <c r="C62" s="23" t="n">
        <f aca="false">สมมติฐาน!$D$7+A62-1</f>
        <v>77</v>
      </c>
      <c r="D62" s="24" t="str">
        <f aca="false">IF(C62&lt;สมมติฐาน!$D$8,"รับราชการ","รับบำนาญ")</f>
        <v>รับบำนาญ</v>
      </c>
      <c r="E62" s="25" t="n">
        <f aca="false">(1+สมมติฐาน!$B$39)^(A62-1)</f>
        <v>2.85633474915715</v>
      </c>
      <c r="F62" s="26" t="n">
        <f aca="false">IF(D62="รับราชการ",สมมติฐาน!$D$13*(1+สมมติฐาน!$D$15)^(A62-1)*E62,0)</f>
        <v>0</v>
      </c>
      <c r="G62" s="26" t="n">
        <f aca="false">F62*12</f>
        <v>0</v>
      </c>
      <c r="H62" s="26" t="n">
        <f aca="false">IF(D62="รับราชการ",IF(A62&gt;=สมมติฐาน!$D$19,สมมติฐาน!$D$18,IF(A62&gt;=สมมติฐาน!$D$17,สมมติฐาน!$D$16,0))*12*E62,0)</f>
        <v>0</v>
      </c>
      <c r="I62" s="26" t="n">
        <f aca="false">G62*สมมติฐาน!$D$21</f>
        <v>0</v>
      </c>
      <c r="J62" s="26" t="n">
        <f aca="false">IF(AND(D62="รับราชการ",A62&lt;=สมมติฐาน!$D$23),สมมติฐาน!$D$22*12*E62,0)</f>
        <v>0</v>
      </c>
      <c r="K62" s="26" t="n">
        <f aca="false">IF(AND(D62="รับราชการ",สมมติฐาน!$D$26&gt;0,A62&gt;=สมมติฐาน!$D$29,A62&lt;สมมติฐาน!$D$29+สมมติฐาน!$D$30),สมมติฐาน!$D$28*สมมติฐาน!$D$26*E62,0)</f>
        <v>0</v>
      </c>
      <c r="L62" s="26" t="n">
        <f aca="false">G62*สมมติฐาน!$D$20</f>
        <v>0</v>
      </c>
      <c r="M62" s="25" t="n">
        <f aca="false">(1+สมมติฐาน!$B$39)^(A62-1)*(1+สมมติฐาน!$B$40)^(A62-1)</f>
        <v>8.15864819924261</v>
      </c>
      <c r="N62" s="23" t="n">
        <f aca="false">A62-สมมติฐาน!$D$31</f>
        <v>46</v>
      </c>
      <c r="O62" s="23" t="n">
        <f aca="false">C62+สมมติฐาน!$D$32</f>
        <v>105</v>
      </c>
      <c r="P62" s="26" t="n">
        <f aca="false">(1+สมมติฐาน!$D$25)*สมมติฐาน!$B$37*LOOKUP(C62,สมมติฐาน!$A$59:$A$64,สมมติฐาน!$B$59:$B$64)*สมมติฐาน!$D$34*M62</f>
        <v>734278.337931835</v>
      </c>
      <c r="Q62" s="26" t="n">
        <f aca="false">IF(AND(สมมติฐาน!$D$26&gt;0,N62&gt;=0,N62&lt;=19),สมมติฐาน!$D$26*สมมติฐาน!$B$37*LOOKUP(MAX(N62,0),สมมติฐาน!$A$59:$A$64,สมมติฐาน!$B$59:$B$64)*สมมติฐาน!$D$34*M62,0)</f>
        <v>0</v>
      </c>
      <c r="R62" s="26" t="n">
        <f aca="false">IF(AND(สมมติฐาน!$D$27&gt;0,O62&lt;=สมมติฐาน!$D$33),สมมติฐาน!$D$27*สมมติฐาน!$B$37*LOOKUP(O62,สมมติฐาน!$A$59:$A$64,สมมติฐาน!$B$59:$B$64)*สมมติฐาน!$D$34*M62,0)</f>
        <v>0</v>
      </c>
      <c r="S62" s="26" t="n">
        <f aca="false">IF(D62="รับราชการ",0,$AD$6*12*(1+สมมติฐาน!$B$42)^(A62-36-1))</f>
        <v>1321517.83831638</v>
      </c>
      <c r="T62" s="26" t="n">
        <f aca="false">IF(C62=สมมติฐาน!$D$8,$AD$7,0)+IF(C62=65,$AD$9,0)+IF(C62=70,$AD$11,0)+IF(A62=62,$AD$12+$AD$13,0)</f>
        <v>0</v>
      </c>
      <c r="U62" s="26" t="n">
        <f aca="false">G62+H62+I62+J62+K62+L62+P62+Q62+R62+S62+T62</f>
        <v>2055796.17624821</v>
      </c>
      <c r="V62" s="26" t="n">
        <f aca="false">U62/E62</f>
        <v>719732.229163561</v>
      </c>
      <c r="W62" s="25" t="n">
        <f aca="false">1/(1+สมมติฐาน!$B$41)^(A62-1)</f>
        <v>0.350099021235198</v>
      </c>
      <c r="X62" s="26" t="n">
        <f aca="false">V62*W62</f>
        <v>251977.54898159</v>
      </c>
    </row>
    <row r="63" customFormat="false" ht="15" hidden="false" customHeight="true" outlineLevel="0" collapsed="false">
      <c r="A63" s="20" t="n">
        <v>55</v>
      </c>
      <c r="B63" s="20" t="n">
        <f aca="false">สมมติฐาน!$B$38+A63-1</f>
        <v>2623</v>
      </c>
      <c r="C63" s="20" t="n">
        <f aca="false">สมมติฐาน!$D$7+A63-1</f>
        <v>78</v>
      </c>
      <c r="D63" s="21" t="str">
        <f aca="false">IF(C63&lt;สมมติฐาน!$D$8,"รับราชการ","รับบำนาญ")</f>
        <v>รับบำนาญ</v>
      </c>
      <c r="E63" s="22" t="n">
        <f aca="false">(1+สมมติฐาน!$B$39)^(A63-1)</f>
        <v>2.91346144414029</v>
      </c>
      <c r="F63" s="14" t="n">
        <f aca="false">IF(D63="รับราชการ",สมมติฐาน!$D$13*(1+สมมติฐาน!$D$15)^(A63-1)*E63,0)</f>
        <v>0</v>
      </c>
      <c r="G63" s="14" t="n">
        <f aca="false">F63*12</f>
        <v>0</v>
      </c>
      <c r="H63" s="14" t="n">
        <f aca="false">IF(D63="รับราชการ",IF(A63&gt;=สมมติฐาน!$D$19,สมมติฐาน!$D$18,IF(A63&gt;=สมมติฐาน!$D$17,สมมติฐาน!$D$16,0))*12*E63,0)</f>
        <v>0</v>
      </c>
      <c r="I63" s="14" t="n">
        <f aca="false">G63*สมมติฐาน!$D$21</f>
        <v>0</v>
      </c>
      <c r="J63" s="14" t="n">
        <f aca="false">IF(AND(D63="รับราชการ",A63&lt;=สมมติฐาน!$D$23),สมมติฐาน!$D$22*12*E63,0)</f>
        <v>0</v>
      </c>
      <c r="K63" s="14" t="n">
        <f aca="false">IF(AND(D63="รับราชการ",สมมติฐาน!$D$26&gt;0,A63&gt;=สมมติฐาน!$D$29,A63&lt;สมมติฐาน!$D$29+สมมติฐาน!$D$30),สมมติฐาน!$D$28*สมมติฐาน!$D$26*E63,0)</f>
        <v>0</v>
      </c>
      <c r="L63" s="14" t="n">
        <f aca="false">G63*สมมติฐาน!$D$20</f>
        <v>0</v>
      </c>
      <c r="M63" s="22" t="n">
        <f aca="false">(1+สมมติฐาน!$B$39)^(A63-1)*(1+สมมติฐาน!$B$40)^(A63-1)</f>
        <v>8.48825758649202</v>
      </c>
      <c r="N63" s="20" t="n">
        <f aca="false">A63-สมมติฐาน!$D$31</f>
        <v>47</v>
      </c>
      <c r="O63" s="20" t="n">
        <f aca="false">C63+สมมติฐาน!$D$32</f>
        <v>106</v>
      </c>
      <c r="P63" s="14" t="n">
        <f aca="false">(1+สมมติฐาน!$D$25)*สมมติฐาน!$B$37*LOOKUP(C63,สมมติฐาน!$A$59:$A$64,สมมติฐาน!$B$59:$B$64)*สมมติฐาน!$D$34*M63</f>
        <v>763943.182784281</v>
      </c>
      <c r="Q63" s="14" t="n">
        <f aca="false">IF(AND(สมมติฐาน!$D$26&gt;0,N63&gt;=0,N63&lt;=19),สมมติฐาน!$D$26*สมมติฐาน!$B$37*LOOKUP(MAX(N63,0),สมมติฐาน!$A$59:$A$64,สมมติฐาน!$B$59:$B$64)*สมมติฐาน!$D$34*M63,0)</f>
        <v>0</v>
      </c>
      <c r="R63" s="14" t="n">
        <f aca="false">IF(AND(สมมติฐาน!$D$27&gt;0,O63&lt;=สมมติฐาน!$D$33),สมมติฐาน!$D$27*สมมติฐาน!$B$37*LOOKUP(O63,สมมติฐาน!$A$59:$A$64,สมมติฐาน!$B$59:$B$64)*สมมติฐาน!$D$34*M63,0)</f>
        <v>0</v>
      </c>
      <c r="S63" s="14" t="n">
        <f aca="false">IF(D63="รับราชการ",0,$AD$6*12*(1+สมมติฐาน!$B$42)^(A63-36-1))</f>
        <v>1334733.01669954</v>
      </c>
      <c r="T63" s="14" t="n">
        <f aca="false">IF(C63=สมมติฐาน!$D$8,$AD$7,0)+IF(C63=65,$AD$9,0)+IF(C63=70,$AD$11,0)+IF(A63=62,$AD$12+$AD$13,0)</f>
        <v>0</v>
      </c>
      <c r="U63" s="14" t="n">
        <f aca="false">G63+H63+I63+J63+K63+L63+P63+Q63+R63+S63+T63</f>
        <v>2098676.19948382</v>
      </c>
      <c r="V63" s="14" t="n">
        <f aca="false">U63/E63</f>
        <v>720337.728753814</v>
      </c>
      <c r="W63" s="22" t="n">
        <f aca="false">1/(1+สมมติฐาน!$B$41)^(A63-1)</f>
        <v>0.343234334544311</v>
      </c>
      <c r="X63" s="14" t="n">
        <f aca="false">V63*W63</f>
        <v>247244.640975976</v>
      </c>
    </row>
    <row r="64" customFormat="false" ht="15" hidden="false" customHeight="true" outlineLevel="0" collapsed="false">
      <c r="A64" s="23" t="n">
        <v>56</v>
      </c>
      <c r="B64" s="23" t="n">
        <f aca="false">สมมติฐาน!$B$38+A64-1</f>
        <v>2624</v>
      </c>
      <c r="C64" s="23" t="n">
        <f aca="false">สมมติฐาน!$D$7+A64-1</f>
        <v>79</v>
      </c>
      <c r="D64" s="24" t="str">
        <f aca="false">IF(C64&lt;สมมติฐาน!$D$8,"รับราชการ","รับบำนาญ")</f>
        <v>รับบำนาญ</v>
      </c>
      <c r="E64" s="25" t="n">
        <f aca="false">(1+สมมติฐาน!$B$39)^(A64-1)</f>
        <v>2.97173067302309</v>
      </c>
      <c r="F64" s="26" t="n">
        <f aca="false">IF(D64="รับราชการ",สมมติฐาน!$D$13*(1+สมมติฐาน!$D$15)^(A64-1)*E64,0)</f>
        <v>0</v>
      </c>
      <c r="G64" s="26" t="n">
        <f aca="false">F64*12</f>
        <v>0</v>
      </c>
      <c r="H64" s="26" t="n">
        <f aca="false">IF(D64="รับราชการ",IF(A64&gt;=สมมติฐาน!$D$19,สมมติฐาน!$D$18,IF(A64&gt;=สมมติฐาน!$D$17,สมมติฐาน!$D$16,0))*12*E64,0)</f>
        <v>0</v>
      </c>
      <c r="I64" s="26" t="n">
        <f aca="false">G64*สมมติฐาน!$D$21</f>
        <v>0</v>
      </c>
      <c r="J64" s="26" t="n">
        <f aca="false">IF(AND(D64="รับราชการ",A64&lt;=สมมติฐาน!$D$23),สมมติฐาน!$D$22*12*E64,0)</f>
        <v>0</v>
      </c>
      <c r="K64" s="26" t="n">
        <f aca="false">IF(AND(D64="รับราชการ",สมมติฐาน!$D$26&gt;0,A64&gt;=สมมติฐาน!$D$29,A64&lt;สมมติฐาน!$D$29+สมมติฐาน!$D$30),สมมติฐาน!$D$28*สมมติฐาน!$D$26*E64,0)</f>
        <v>0</v>
      </c>
      <c r="L64" s="26" t="n">
        <f aca="false">G64*สมมติฐาน!$D$20</f>
        <v>0</v>
      </c>
      <c r="M64" s="25" t="n">
        <f aca="false">(1+สมมติฐาน!$B$39)^(A64-1)*(1+สมมติฐาน!$B$40)^(A64-1)</f>
        <v>8.83118319298629</v>
      </c>
      <c r="N64" s="23" t="n">
        <f aca="false">A64-สมมติฐาน!$D$31</f>
        <v>48</v>
      </c>
      <c r="O64" s="23" t="n">
        <f aca="false">C64+สมมติฐาน!$D$32</f>
        <v>107</v>
      </c>
      <c r="P64" s="26" t="n">
        <f aca="false">(1+สมมติฐาน!$D$25)*สมมติฐาน!$B$37*LOOKUP(C64,สมมติฐาน!$A$59:$A$64,สมมติฐาน!$B$59:$B$64)*สมมติฐาน!$D$34*M64</f>
        <v>794806.487368766</v>
      </c>
      <c r="Q64" s="26" t="n">
        <f aca="false">IF(AND(สมมติฐาน!$D$26&gt;0,N64&gt;=0,N64&lt;=19),สมมติฐาน!$D$26*สมมติฐาน!$B$37*LOOKUP(MAX(N64,0),สมมติฐาน!$A$59:$A$64,สมมติฐาน!$B$59:$B$64)*สมมติฐาน!$D$34*M64,0)</f>
        <v>0</v>
      </c>
      <c r="R64" s="26" t="n">
        <f aca="false">IF(AND(สมมติฐาน!$D$27&gt;0,O64&lt;=สมมติฐาน!$D$33),สมมติฐาน!$D$27*สมมติฐาน!$B$37*LOOKUP(O64,สมมติฐาน!$A$59:$A$64,สมมติฐาน!$B$59:$B$64)*สมมติฐาน!$D$34*M64,0)</f>
        <v>0</v>
      </c>
      <c r="S64" s="26" t="n">
        <f aca="false">IF(D64="รับราชการ",0,$AD$6*12*(1+สมมติฐาน!$B$42)^(A64-36-1))</f>
        <v>1348080.34686654</v>
      </c>
      <c r="T64" s="26" t="n">
        <f aca="false">IF(C64=สมมติฐาน!$D$8,$AD$7,0)+IF(C64=65,$AD$9,0)+IF(C64=70,$AD$11,0)+IF(A64=62,$AD$12+$AD$13,0)</f>
        <v>0</v>
      </c>
      <c r="U64" s="26" t="n">
        <f aca="false">G64+H64+I64+J64+K64+L64+P64+Q64+R64+S64+T64</f>
        <v>2142886.8342353</v>
      </c>
      <c r="V64" s="26" t="n">
        <f aca="false">U64/E64</f>
        <v>721090.526031883</v>
      </c>
      <c r="W64" s="25" t="n">
        <f aca="false">1/(1+สมมติฐาน!$B$41)^(A64-1)</f>
        <v>0.336504249553246</v>
      </c>
      <c r="X64" s="26" t="n">
        <f aca="false">V64*W64</f>
        <v>242650.026322314</v>
      </c>
    </row>
    <row r="65" customFormat="false" ht="15" hidden="false" customHeight="true" outlineLevel="0" collapsed="false">
      <c r="A65" s="20" t="n">
        <v>57</v>
      </c>
      <c r="B65" s="20" t="n">
        <f aca="false">สมมติฐาน!$B$38+A65-1</f>
        <v>2625</v>
      </c>
      <c r="C65" s="20" t="n">
        <f aca="false">สมมติฐาน!$D$7+A65-1</f>
        <v>80</v>
      </c>
      <c r="D65" s="21" t="str">
        <f aca="false">IF(C65&lt;สมมติฐาน!$D$8,"รับราชการ","รับบำนาญ")</f>
        <v>รับบำนาญ</v>
      </c>
      <c r="E65" s="22" t="n">
        <f aca="false">(1+สมมติฐาน!$B$39)^(A65-1)</f>
        <v>3.03116528648356</v>
      </c>
      <c r="F65" s="14" t="n">
        <f aca="false">IF(D65="รับราชการ",สมมติฐาน!$D$13*(1+สมมติฐาน!$D$15)^(A65-1)*E65,0)</f>
        <v>0</v>
      </c>
      <c r="G65" s="14" t="n">
        <f aca="false">F65*12</f>
        <v>0</v>
      </c>
      <c r="H65" s="14" t="n">
        <f aca="false">IF(D65="รับราชการ",IF(A65&gt;=สมมติฐาน!$D$19,สมมติฐาน!$D$18,IF(A65&gt;=สมมติฐาน!$D$17,สมมติฐาน!$D$16,0))*12*E65,0)</f>
        <v>0</v>
      </c>
      <c r="I65" s="14" t="n">
        <f aca="false">G65*สมมติฐาน!$D$21</f>
        <v>0</v>
      </c>
      <c r="J65" s="14" t="n">
        <f aca="false">IF(AND(D65="รับราชการ",A65&lt;=สมมติฐาน!$D$23),สมมติฐาน!$D$22*12*E65,0)</f>
        <v>0</v>
      </c>
      <c r="K65" s="14" t="n">
        <f aca="false">IF(AND(D65="รับราชการ",สมมติฐาน!$D$26&gt;0,A65&gt;=สมมติฐาน!$D$29,A65&lt;สมมติฐาน!$D$29+สมมติฐาน!$D$30),สมมติฐาน!$D$28*สมมติฐาน!$D$26*E65,0)</f>
        <v>0</v>
      </c>
      <c r="L65" s="14" t="n">
        <f aca="false">G65*สมมติฐาน!$D$20</f>
        <v>0</v>
      </c>
      <c r="M65" s="22" t="n">
        <f aca="false">(1+สมมติฐาน!$B$39)^(A65-1)*(1+สมมติฐาน!$B$40)^(A65-1)</f>
        <v>9.18796299398294</v>
      </c>
      <c r="N65" s="20" t="n">
        <f aca="false">A65-สมมติฐาน!$D$31</f>
        <v>49</v>
      </c>
      <c r="O65" s="20" t="n">
        <f aca="false">C65+สมมติฐาน!$D$32</f>
        <v>108</v>
      </c>
      <c r="P65" s="14" t="n">
        <f aca="false">(1+สมมติฐาน!$D$25)*สมมติฐาน!$B$37*LOOKUP(C65,สมมติฐาน!$A$59:$A$64,สมมติฐาน!$B$59:$B$64)*สมมติฐาน!$D$34*M65</f>
        <v>1102555.55927795</v>
      </c>
      <c r="Q65" s="14" t="n">
        <f aca="false">IF(AND(สมมติฐาน!$D$26&gt;0,N65&gt;=0,N65&lt;=19),สมมติฐาน!$D$26*สมมติฐาน!$B$37*LOOKUP(MAX(N65,0),สมมติฐาน!$A$59:$A$64,สมมติฐาน!$B$59:$B$64)*สมมติฐาน!$D$34*M65,0)</f>
        <v>0</v>
      </c>
      <c r="R65" s="14" t="n">
        <f aca="false">IF(AND(สมมติฐาน!$D$27&gt;0,O65&lt;=สมมติฐาน!$D$33),สมมติฐาน!$D$27*สมมติฐาน!$B$37*LOOKUP(O65,สมมติฐาน!$A$59:$A$64,สมมติฐาน!$B$59:$B$64)*สมมติฐาน!$D$34*M65,0)</f>
        <v>0</v>
      </c>
      <c r="S65" s="14" t="n">
        <f aca="false">IF(D65="รับราชการ",0,$AD$6*12*(1+สมมติฐาน!$B$42)^(A65-36-1))</f>
        <v>1361561.1503352</v>
      </c>
      <c r="T65" s="14" t="n">
        <f aca="false">IF(C65=สมมติฐาน!$D$8,$AD$7,0)+IF(C65=65,$AD$9,0)+IF(C65=70,$AD$11,0)+IF(A65=62,$AD$12+$AD$13,0)</f>
        <v>0</v>
      </c>
      <c r="U65" s="14" t="n">
        <f aca="false">G65+H65+I65+J65+K65+L65+P65+Q65+R65+S65+T65</f>
        <v>2464116.70961316</v>
      </c>
      <c r="V65" s="14" t="n">
        <f aca="false">U65/E65</f>
        <v>812927.20017646</v>
      </c>
      <c r="W65" s="22" t="n">
        <f aca="false">1/(1+สมมติฐาน!$B$41)^(A65-1)</f>
        <v>0.329906127012987</v>
      </c>
      <c r="X65" s="14" t="n">
        <f aca="false">V65*W65</f>
        <v>268189.664153727</v>
      </c>
    </row>
    <row r="66" customFormat="false" ht="15" hidden="false" customHeight="true" outlineLevel="0" collapsed="false">
      <c r="A66" s="23" t="n">
        <v>58</v>
      </c>
      <c r="B66" s="23" t="n">
        <f aca="false">สมมติฐาน!$B$38+A66-1</f>
        <v>2626</v>
      </c>
      <c r="C66" s="23" t="n">
        <f aca="false">สมมติฐาน!$D$7+A66-1</f>
        <v>81</v>
      </c>
      <c r="D66" s="24" t="str">
        <f aca="false">IF(C66&lt;สมมติฐาน!$D$8,"รับราชการ","รับบำนาญ")</f>
        <v>รับบำนาญ</v>
      </c>
      <c r="E66" s="25" t="n">
        <f aca="false">(1+สมมติฐาน!$B$39)^(A66-1)</f>
        <v>3.09178859221323</v>
      </c>
      <c r="F66" s="26" t="n">
        <f aca="false">IF(D66="รับราชการ",สมมติฐาน!$D$13*(1+สมมติฐาน!$D$15)^(A66-1)*E66,0)</f>
        <v>0</v>
      </c>
      <c r="G66" s="26" t="n">
        <f aca="false">F66*12</f>
        <v>0</v>
      </c>
      <c r="H66" s="26" t="n">
        <f aca="false">IF(D66="รับราชการ",IF(A66&gt;=สมมติฐาน!$D$19,สมมติฐาน!$D$18,IF(A66&gt;=สมมติฐาน!$D$17,สมมติฐาน!$D$16,0))*12*E66,0)</f>
        <v>0</v>
      </c>
      <c r="I66" s="26" t="n">
        <f aca="false">G66*สมมติฐาน!$D$21</f>
        <v>0</v>
      </c>
      <c r="J66" s="26" t="n">
        <f aca="false">IF(AND(D66="รับราชการ",A66&lt;=สมมติฐาน!$D$23),สมมติฐาน!$D$22*12*E66,0)</f>
        <v>0</v>
      </c>
      <c r="K66" s="26" t="n">
        <f aca="false">IF(AND(D66="รับราชการ",สมมติฐาน!$D$26&gt;0,A66&gt;=สมมติฐาน!$D$29,A66&lt;สมมติฐาน!$D$29+สมมติฐาน!$D$30),สมมติฐาน!$D$28*สมมติฐาน!$D$26*E66,0)</f>
        <v>0</v>
      </c>
      <c r="L66" s="26" t="n">
        <f aca="false">G66*สมมติฐาน!$D$20</f>
        <v>0</v>
      </c>
      <c r="M66" s="25" t="n">
        <f aca="false">(1+สมมติฐาน!$B$39)^(A66-1)*(1+สมมติฐาน!$B$40)^(A66-1)</f>
        <v>9.55915669893985</v>
      </c>
      <c r="N66" s="23" t="n">
        <f aca="false">A66-สมมติฐาน!$D$31</f>
        <v>50</v>
      </c>
      <c r="O66" s="23" t="n">
        <f aca="false">C66+สมมติฐาน!$D$32</f>
        <v>109</v>
      </c>
      <c r="P66" s="26" t="n">
        <f aca="false">(1+สมมติฐาน!$D$25)*สมมติฐาน!$B$37*LOOKUP(C66,สมมติฐาน!$A$59:$A$64,สมมติฐาน!$B$59:$B$64)*สมมติฐาน!$D$34*M66</f>
        <v>1147098.80387278</v>
      </c>
      <c r="Q66" s="26" t="n">
        <f aca="false">IF(AND(สมมติฐาน!$D$26&gt;0,N66&gt;=0,N66&lt;=19),สมมติฐาน!$D$26*สมมติฐาน!$B$37*LOOKUP(MAX(N66,0),สมมติฐาน!$A$59:$A$64,สมมติฐาน!$B$59:$B$64)*สมมติฐาน!$D$34*M66,0)</f>
        <v>0</v>
      </c>
      <c r="R66" s="26" t="n">
        <f aca="false">IF(AND(สมมติฐาน!$D$27&gt;0,O66&lt;=สมมติฐาน!$D$33),สมมติฐาน!$D$27*สมมติฐาน!$B$37*LOOKUP(O66,สมมติฐาน!$A$59:$A$64,สมมติฐาน!$B$59:$B$64)*สมมติฐาน!$D$34*M66,0)</f>
        <v>0</v>
      </c>
      <c r="S66" s="26" t="n">
        <f aca="false">IF(D66="รับราชการ",0,$AD$6*12*(1+สมมติฐาน!$B$42)^(A66-36-1))</f>
        <v>1375176.76183855</v>
      </c>
      <c r="T66" s="26" t="n">
        <f aca="false">IF(C66=สมมติฐาน!$D$8,$AD$7,0)+IF(C66=65,$AD$9,0)+IF(C66=70,$AD$11,0)+IF(A66=62,$AD$12+$AD$13,0)</f>
        <v>0</v>
      </c>
      <c r="U66" s="26" t="n">
        <f aca="false">G66+H66+I66+J66+K66+L66+P66+Q66+R66+S66+T66</f>
        <v>2522275.56571134</v>
      </c>
      <c r="V66" s="26" t="n">
        <f aca="false">U66/E66</f>
        <v>815798.199160115</v>
      </c>
      <c r="W66" s="25" t="n">
        <f aca="false">1/(1+สมมติฐาน!$B$41)^(A66-1)</f>
        <v>0.323437379424497</v>
      </c>
      <c r="X66" s="26" t="n">
        <f aca="false">V66*W66</f>
        <v>263859.631675571</v>
      </c>
    </row>
    <row r="67" customFormat="false" ht="15" hidden="false" customHeight="true" outlineLevel="0" collapsed="false">
      <c r="A67" s="20" t="n">
        <v>59</v>
      </c>
      <c r="B67" s="20" t="n">
        <f aca="false">สมมติฐาน!$B$38+A67-1</f>
        <v>2627</v>
      </c>
      <c r="C67" s="20" t="n">
        <f aca="false">สมมติฐาน!$D$7+A67-1</f>
        <v>82</v>
      </c>
      <c r="D67" s="21" t="str">
        <f aca="false">IF(C67&lt;สมมติฐาน!$D$8,"รับราชการ","รับบำนาญ")</f>
        <v>รับบำนาญ</v>
      </c>
      <c r="E67" s="22" t="n">
        <f aca="false">(1+สมมติฐาน!$B$39)^(A67-1)</f>
        <v>3.15362436405749</v>
      </c>
      <c r="F67" s="14" t="n">
        <f aca="false">IF(D67="รับราชการ",สมมติฐาน!$D$13*(1+สมมติฐาน!$D$15)^(A67-1)*E67,0)</f>
        <v>0</v>
      </c>
      <c r="G67" s="14" t="n">
        <f aca="false">F67*12</f>
        <v>0</v>
      </c>
      <c r="H67" s="14" t="n">
        <f aca="false">IF(D67="รับราชการ",IF(A67&gt;=สมมติฐาน!$D$19,สมมติฐาน!$D$18,IF(A67&gt;=สมมติฐาน!$D$17,สมมติฐาน!$D$16,0))*12*E67,0)</f>
        <v>0</v>
      </c>
      <c r="I67" s="14" t="n">
        <f aca="false">G67*สมมติฐาน!$D$21</f>
        <v>0</v>
      </c>
      <c r="J67" s="14" t="n">
        <f aca="false">IF(AND(D67="รับราชการ",A67&lt;=สมมติฐาน!$D$23),สมมติฐาน!$D$22*12*E67,0)</f>
        <v>0</v>
      </c>
      <c r="K67" s="14" t="n">
        <f aca="false">IF(AND(D67="รับราชการ",สมมติฐาน!$D$26&gt;0,A67&gt;=สมมติฐาน!$D$29,A67&lt;สมมติฐาน!$D$29+สมมติฐาน!$D$30),สมมติฐาน!$D$28*สมมติฐาน!$D$26*E67,0)</f>
        <v>0</v>
      </c>
      <c r="L67" s="14" t="n">
        <f aca="false">G67*สมมติฐาน!$D$20</f>
        <v>0</v>
      </c>
      <c r="M67" s="22" t="n">
        <f aca="false">(1+สมมติฐาน!$B$39)^(A67-1)*(1+สมมติฐาน!$B$40)^(A67-1)</f>
        <v>9.94534662957702</v>
      </c>
      <c r="N67" s="20" t="n">
        <f aca="false">A67-สมมติฐาน!$D$31</f>
        <v>51</v>
      </c>
      <c r="O67" s="20" t="n">
        <f aca="false">C67+สมมติฐาน!$D$32</f>
        <v>110</v>
      </c>
      <c r="P67" s="14" t="n">
        <f aca="false">(1+สมมติฐาน!$D$25)*สมมติฐาน!$B$37*LOOKUP(C67,สมมติฐาน!$A$59:$A$64,สมมติฐาน!$B$59:$B$64)*สมมติฐาน!$D$34*M67</f>
        <v>1193441.59554924</v>
      </c>
      <c r="Q67" s="14" t="n">
        <f aca="false">IF(AND(สมมติฐาน!$D$26&gt;0,N67&gt;=0,N67&lt;=19),สมมติฐาน!$D$26*สมมติฐาน!$B$37*LOOKUP(MAX(N67,0),สมมติฐาน!$A$59:$A$64,สมมติฐาน!$B$59:$B$64)*สมมติฐาน!$D$34*M67,0)</f>
        <v>0</v>
      </c>
      <c r="R67" s="14" t="n">
        <f aca="false">IF(AND(สมมติฐาน!$D$27&gt;0,O67&lt;=สมมติฐาน!$D$33),สมมติฐาน!$D$27*สมมติฐาน!$B$37*LOOKUP(O67,สมมติฐาน!$A$59:$A$64,สมมติฐาน!$B$59:$B$64)*สมมติฐาน!$D$34*M67,0)</f>
        <v>0</v>
      </c>
      <c r="S67" s="14" t="n">
        <f aca="false">IF(D67="รับราชการ",0,$AD$6*12*(1+สมมติฐาน!$B$42)^(A67-36-1))</f>
        <v>1388928.52945694</v>
      </c>
      <c r="T67" s="14" t="n">
        <f aca="false">IF(C67=สมมติฐาน!$D$8,$AD$7,0)+IF(C67=65,$AD$9,0)+IF(C67=70,$AD$11,0)+IF(A67=62,$AD$12+$AD$13,0)</f>
        <v>0</v>
      </c>
      <c r="U67" s="14" t="n">
        <f aca="false">G67+H67+I67+J67+K67+L67+P67+Q67+R67+S67+T67</f>
        <v>2582370.12500618</v>
      </c>
      <c r="V67" s="14" t="n">
        <f aca="false">U67/E67</f>
        <v>818857.868564813</v>
      </c>
      <c r="W67" s="22" t="n">
        <f aca="false">1/(1+สมมติฐาน!$B$41)^(A67-1)</f>
        <v>0.317095470024016</v>
      </c>
      <c r="X67" s="14" t="n">
        <f aca="false">V67*W67</f>
        <v>259656.120715424</v>
      </c>
    </row>
    <row r="68" customFormat="false" ht="15" hidden="false" customHeight="true" outlineLevel="0" collapsed="false">
      <c r="A68" s="23" t="n">
        <v>60</v>
      </c>
      <c r="B68" s="23" t="n">
        <f aca="false">สมมติฐาน!$B$38+A68-1</f>
        <v>2628</v>
      </c>
      <c r="C68" s="23" t="n">
        <f aca="false">สมมติฐาน!$D$7+A68-1</f>
        <v>83</v>
      </c>
      <c r="D68" s="24" t="str">
        <f aca="false">IF(C68&lt;สมมติฐาน!$D$8,"รับราชการ","รับบำนาญ")</f>
        <v>รับบำนาญ</v>
      </c>
      <c r="E68" s="25" t="n">
        <f aca="false">(1+สมมติฐาน!$B$39)^(A68-1)</f>
        <v>3.21669685133864</v>
      </c>
      <c r="F68" s="26" t="n">
        <f aca="false">IF(D68="รับราชการ",สมมติฐาน!$D$13*(1+สมมติฐาน!$D$15)^(A68-1)*E68,0)</f>
        <v>0</v>
      </c>
      <c r="G68" s="26" t="n">
        <f aca="false">F68*12</f>
        <v>0</v>
      </c>
      <c r="H68" s="26" t="n">
        <f aca="false">IF(D68="รับราชการ",IF(A68&gt;=สมมติฐาน!$D$19,สมมติฐาน!$D$18,IF(A68&gt;=สมมติฐาน!$D$17,สมมติฐาน!$D$16,0))*12*E68,0)</f>
        <v>0</v>
      </c>
      <c r="I68" s="26" t="n">
        <f aca="false">G68*สมมติฐาน!$D$21</f>
        <v>0</v>
      </c>
      <c r="J68" s="26" t="n">
        <f aca="false">IF(AND(D68="รับราชการ",A68&lt;=สมมติฐาน!$D$23),สมมติฐาน!$D$22*12*E68,0)</f>
        <v>0</v>
      </c>
      <c r="K68" s="26" t="n">
        <f aca="false">IF(AND(D68="รับราชการ",สมมติฐาน!$D$26&gt;0,A68&gt;=สมมติฐาน!$D$29,A68&lt;สมมติฐาน!$D$29+สมมติฐาน!$D$30),สมมติฐาน!$D$28*สมมติฐาน!$D$26*E68,0)</f>
        <v>0</v>
      </c>
      <c r="L68" s="26" t="n">
        <f aca="false">G68*สมมติฐาน!$D$20</f>
        <v>0</v>
      </c>
      <c r="M68" s="25" t="n">
        <f aca="false">(1+สมมติฐาน!$B$39)^(A68-1)*(1+สมมติฐาน!$B$40)^(A68-1)</f>
        <v>10.3471386334119</v>
      </c>
      <c r="N68" s="23" t="n">
        <f aca="false">A68-สมมติฐาน!$D$31</f>
        <v>52</v>
      </c>
      <c r="O68" s="23" t="n">
        <f aca="false">C68+สมมติฐาน!$D$32</f>
        <v>111</v>
      </c>
      <c r="P68" s="26" t="n">
        <f aca="false">(1+สมมติฐาน!$D$25)*สมมติฐาน!$B$37*LOOKUP(C68,สมมติฐาน!$A$59:$A$64,สมมติฐาน!$B$59:$B$64)*สมมติฐาน!$D$34*M68</f>
        <v>1241656.63600943</v>
      </c>
      <c r="Q68" s="26" t="n">
        <f aca="false">IF(AND(สมมติฐาน!$D$26&gt;0,N68&gt;=0,N68&lt;=19),สมมติฐาน!$D$26*สมมติฐาน!$B$37*LOOKUP(MAX(N68,0),สมมติฐาน!$A$59:$A$64,สมมติฐาน!$B$59:$B$64)*สมมติฐาน!$D$34*M68,0)</f>
        <v>0</v>
      </c>
      <c r="R68" s="26" t="n">
        <f aca="false">IF(AND(สมมติฐาน!$D$27&gt;0,O68&lt;=สมมติฐาน!$D$33),สมมติฐาน!$D$27*สมมติฐาน!$B$37*LOOKUP(O68,สมมติฐาน!$A$59:$A$64,สมมติฐาน!$B$59:$B$64)*สมมติฐาน!$D$34*M68,0)</f>
        <v>0</v>
      </c>
      <c r="S68" s="26" t="n">
        <f aca="false">IF(D68="รับราชการ",0,$AD$6*12*(1+สมมติฐาน!$B$42)^(A68-36-1))</f>
        <v>1402817.81475151</v>
      </c>
      <c r="T68" s="26" t="n">
        <f aca="false">IF(C68=สมมติฐาน!$D$8,$AD$7,0)+IF(C68=65,$AD$9,0)+IF(C68=70,$AD$11,0)+IF(A68=62,$AD$12+$AD$13,0)</f>
        <v>0</v>
      </c>
      <c r="U68" s="26" t="n">
        <f aca="false">G68+H68+I68+J68+K68+L68+P68+Q68+R68+S68+T68</f>
        <v>2644474.45076094</v>
      </c>
      <c r="V68" s="26" t="n">
        <f aca="false">U68/E68</f>
        <v>822108.695029944</v>
      </c>
      <c r="W68" s="25" t="n">
        <f aca="false">1/(1+สมมติฐาน!$B$41)^(A68-1)</f>
        <v>0.310877911788251</v>
      </c>
      <c r="X68" s="26" t="n">
        <f aca="false">V68*W68</f>
        <v>255575.434373873</v>
      </c>
    </row>
    <row r="69" customFormat="false" ht="15" hidden="false" customHeight="true" outlineLevel="0" collapsed="false">
      <c r="A69" s="20" t="n">
        <v>61</v>
      </c>
      <c r="B69" s="20" t="n">
        <f aca="false">สมมติฐาน!$B$38+A69-1</f>
        <v>2629</v>
      </c>
      <c r="C69" s="20" t="n">
        <f aca="false">สมมติฐาน!$D$7+A69-1</f>
        <v>84</v>
      </c>
      <c r="D69" s="21" t="str">
        <f aca="false">IF(C69&lt;สมมติฐาน!$D$8,"รับราชการ","รับบำนาญ")</f>
        <v>รับบำนาญ</v>
      </c>
      <c r="E69" s="22" t="n">
        <f aca="false">(1+สมมติฐาน!$B$39)^(A69-1)</f>
        <v>3.28103078836541</v>
      </c>
      <c r="F69" s="14" t="n">
        <f aca="false">IF(D69="รับราชการ",สมมติฐาน!$D$13*(1+สมมติฐาน!$D$15)^(A69-1)*E69,0)</f>
        <v>0</v>
      </c>
      <c r="G69" s="14" t="n">
        <f aca="false">F69*12</f>
        <v>0</v>
      </c>
      <c r="H69" s="14" t="n">
        <f aca="false">IF(D69="รับราชการ",IF(A69&gt;=สมมติฐาน!$D$19,สมมติฐาน!$D$18,IF(A69&gt;=สมมติฐาน!$D$17,สมมติฐาน!$D$16,0))*12*E69,0)</f>
        <v>0</v>
      </c>
      <c r="I69" s="14" t="n">
        <f aca="false">G69*สมมติฐาน!$D$21</f>
        <v>0</v>
      </c>
      <c r="J69" s="14" t="n">
        <f aca="false">IF(AND(D69="รับราชการ",A69&lt;=สมมติฐาน!$D$23),สมมติฐาน!$D$22*12*E69,0)</f>
        <v>0</v>
      </c>
      <c r="K69" s="14" t="n">
        <f aca="false">IF(AND(D69="รับราชการ",สมมติฐาน!$D$26&gt;0,A69&gt;=สมมติฐาน!$D$29,A69&lt;สมมติฐาน!$D$29+สมมติฐาน!$D$30),สมมติฐาน!$D$28*สมมติฐาน!$D$26*E69,0)</f>
        <v>0</v>
      </c>
      <c r="L69" s="14" t="n">
        <f aca="false">G69*สมมติฐาน!$D$20</f>
        <v>0</v>
      </c>
      <c r="M69" s="22" t="n">
        <f aca="false">(1+สมมติฐาน!$B$39)^(A69-1)*(1+สมมติฐาน!$B$40)^(A69-1)</f>
        <v>10.7651630342018</v>
      </c>
      <c r="N69" s="20" t="n">
        <f aca="false">A69-สมมติฐาน!$D$31</f>
        <v>53</v>
      </c>
      <c r="O69" s="20" t="n">
        <f aca="false">C69+สมมติฐาน!$D$32</f>
        <v>112</v>
      </c>
      <c r="P69" s="14" t="n">
        <f aca="false">(1+สมมติฐาน!$D$25)*สมมติฐาน!$B$37*LOOKUP(C69,สมมติฐาน!$A$59:$A$64,สมมติฐาน!$B$59:$B$64)*สมมติฐาน!$D$34*M69</f>
        <v>1291819.56410421</v>
      </c>
      <c r="Q69" s="14" t="n">
        <f aca="false">IF(AND(สมมติฐาน!$D$26&gt;0,N69&gt;=0,N69&lt;=19),สมมติฐาน!$D$26*สมมติฐาน!$B$37*LOOKUP(MAX(N69,0),สมมติฐาน!$A$59:$A$64,สมมติฐาน!$B$59:$B$64)*สมมติฐาน!$D$34*M69,0)</f>
        <v>0</v>
      </c>
      <c r="R69" s="14" t="n">
        <f aca="false">IF(AND(สมมติฐาน!$D$27&gt;0,O69&lt;=สมมติฐาน!$D$33),สมมติฐาน!$D$27*สมมติฐาน!$B$37*LOOKUP(O69,สมมติฐาน!$A$59:$A$64,สมมติฐาน!$B$59:$B$64)*สมมติฐาน!$D$34*M69,0)</f>
        <v>0</v>
      </c>
      <c r="S69" s="14" t="n">
        <f aca="false">IF(D69="รับราชการ",0,$AD$6*12*(1+สมมติฐาน!$B$42)^(A69-36-1))</f>
        <v>1416845.99289902</v>
      </c>
      <c r="T69" s="14" t="n">
        <f aca="false">IF(C69=สมมติฐาน!$D$8,$AD$7,0)+IF(C69=65,$AD$9,0)+IF(C69=70,$AD$11,0)+IF(A69=62,$AD$12+$AD$13,0)</f>
        <v>0</v>
      </c>
      <c r="U69" s="14" t="n">
        <f aca="false">G69+H69+I69+J69+K69+L69+P69+Q69+R69+S69+T69</f>
        <v>2708665.55700324</v>
      </c>
      <c r="V69" s="14" t="n">
        <f aca="false">U69/E69</f>
        <v>825553.227543066</v>
      </c>
      <c r="W69" s="22" t="n">
        <f aca="false">1/(1+สมมติฐาน!$B$41)^(A69-1)</f>
        <v>0.30478226645907</v>
      </c>
      <c r="X69" s="14" t="n">
        <f aca="false">V69*W69</f>
        <v>251613.983773176</v>
      </c>
    </row>
    <row r="70" customFormat="false" ht="15" hidden="false" customHeight="true" outlineLevel="0" collapsed="false">
      <c r="A70" s="23" t="n">
        <v>62</v>
      </c>
      <c r="B70" s="23" t="n">
        <f aca="false">สมมติฐาน!$B$38+A70-1</f>
        <v>2630</v>
      </c>
      <c r="C70" s="23" t="n">
        <f aca="false">สมมติฐาน!$D$7+A70-1</f>
        <v>85</v>
      </c>
      <c r="D70" s="24" t="str">
        <f aca="false">IF(C70&lt;สมมติฐาน!$D$8,"รับราชการ","รับบำนาญ")</f>
        <v>รับบำนาญ</v>
      </c>
      <c r="E70" s="25" t="n">
        <f aca="false">(1+สมมติฐาน!$B$39)^(A70-1)</f>
        <v>3.34665140413272</v>
      </c>
      <c r="F70" s="26" t="n">
        <f aca="false">IF(D70="รับราชการ",สมมติฐาน!$D$13*(1+สมมติฐาน!$D$15)^(A70-1)*E70,0)</f>
        <v>0</v>
      </c>
      <c r="G70" s="26" t="n">
        <f aca="false">F70*12</f>
        <v>0</v>
      </c>
      <c r="H70" s="26" t="n">
        <f aca="false">IF(D70="รับราชการ",IF(A70&gt;=สมมติฐาน!$D$19,สมมติฐาน!$D$18,IF(A70&gt;=สมมติฐาน!$D$17,สมมติฐาน!$D$16,0))*12*E70,0)</f>
        <v>0</v>
      </c>
      <c r="I70" s="26" t="n">
        <f aca="false">G70*สมมติฐาน!$D$21</f>
        <v>0</v>
      </c>
      <c r="J70" s="26" t="n">
        <f aca="false">IF(AND(D70="รับราชการ",A70&lt;=สมมติฐาน!$D$23),สมมติฐาน!$D$22*12*E70,0)</f>
        <v>0</v>
      </c>
      <c r="K70" s="26" t="n">
        <f aca="false">IF(AND(D70="รับราชการ",สมมติฐาน!$D$26&gt;0,A70&gt;=สมมติฐาน!$D$29,A70&lt;สมมติฐาน!$D$29+สมมติฐาน!$D$30),สมมติฐาน!$D$28*สมมติฐาน!$D$26*E70,0)</f>
        <v>0</v>
      </c>
      <c r="L70" s="26" t="n">
        <f aca="false">G70*สมมติฐาน!$D$20</f>
        <v>0</v>
      </c>
      <c r="M70" s="25" t="n">
        <f aca="false">(1+สมมติฐาน!$B$39)^(A70-1)*(1+สมมติฐาน!$B$40)^(A70-1)</f>
        <v>11.2000756207835</v>
      </c>
      <c r="N70" s="23" t="n">
        <f aca="false">A70-สมมติฐาน!$D$31</f>
        <v>54</v>
      </c>
      <c r="O70" s="23" t="n">
        <f aca="false">C70+สมมติฐาน!$D$32</f>
        <v>113</v>
      </c>
      <c r="P70" s="26" t="n">
        <f aca="false">(1+สมมติฐาน!$D$25)*สมมติฐาน!$B$37*LOOKUP(C70,สมมติฐาน!$A$59:$A$64,สมมติฐาน!$B$59:$B$64)*สมมติฐาน!$D$34*M70</f>
        <v>1344009.07449402</v>
      </c>
      <c r="Q70" s="26" t="n">
        <f aca="false">IF(AND(สมมติฐาน!$D$26&gt;0,N70&gt;=0,N70&lt;=19),สมมติฐาน!$D$26*สมมติฐาน!$B$37*LOOKUP(MAX(N70,0),สมมติฐาน!$A$59:$A$64,สมมติฐาน!$B$59:$B$64)*สมมติฐาน!$D$34*M70,0)</f>
        <v>0</v>
      </c>
      <c r="R70" s="26" t="n">
        <f aca="false">IF(AND(สมมติฐาน!$D$27&gt;0,O70&lt;=สมมติฐาน!$D$33),สมมติฐาน!$D$27*สมมติฐาน!$B$37*LOOKUP(O70,สมมติฐาน!$A$59:$A$64,สมมติฐาน!$B$59:$B$64)*สมมติฐาน!$D$34*M70,0)</f>
        <v>0</v>
      </c>
      <c r="S70" s="26" t="n">
        <f aca="false">IF(D70="รับราชการ",0,$AD$6*12*(1+สมมติฐาน!$B$42)^(A70-36-1))</f>
        <v>1431014.45282801</v>
      </c>
      <c r="T70" s="26" t="n">
        <f aca="false">IF(C70=สมมติฐาน!$D$8,$AD$7,0)+IF(C70=65,$AD$9,0)+IF(C70=70,$AD$11,0)+IF(A70=62,$AD$12+$AD$13,0)</f>
        <v>2568614.75740408</v>
      </c>
      <c r="U70" s="26" t="n">
        <f aca="false">G70+H70+I70+J70+K70+L70+P70+Q70+R70+S70+T70</f>
        <v>5343638.28472612</v>
      </c>
      <c r="V70" s="26" t="n">
        <f aca="false">U70/E70</f>
        <v>1596711.94858459</v>
      </c>
      <c r="W70" s="25" t="n">
        <f aca="false">1/(1+สมมติฐาน!$B$41)^(A70-1)</f>
        <v>0.298806143587323</v>
      </c>
      <c r="X70" s="26" t="n">
        <f aca="false">V70*W70</f>
        <v>477107.339776363</v>
      </c>
    </row>
    <row r="71" customFormat="false" ht="15" hidden="false" customHeight="true" outlineLevel="0" collapsed="false">
      <c r="A71" s="6" t="s">
        <v>206</v>
      </c>
      <c r="G71" s="27" t="n">
        <f aca="false">SUM(G9:G70)</f>
        <v>28418286.2131624</v>
      </c>
      <c r="H71" s="27" t="n">
        <f aca="false">SUM(H9:H70)</f>
        <v>6676500.80576875</v>
      </c>
      <c r="I71" s="27" t="n">
        <f aca="false">SUM(I9:I70)</f>
        <v>1420914.31065812</v>
      </c>
      <c r="J71" s="27" t="n">
        <f aca="false">SUM(J9:J70)</f>
        <v>804725.383687636</v>
      </c>
      <c r="K71" s="27" t="n">
        <f aca="false">SUM(K9:K70)</f>
        <v>1229800.81703863</v>
      </c>
      <c r="L71" s="27" t="n">
        <f aca="false">SUM(L9:L70)</f>
        <v>1136731.44852649</v>
      </c>
      <c r="P71" s="27" t="n">
        <f aca="false">SUM(P9:P70)</f>
        <v>18622754.2879622</v>
      </c>
      <c r="Q71" s="27" t="n">
        <f aca="false">SUM(Q9:Q70)</f>
        <v>473460.202300222</v>
      </c>
      <c r="R71" s="27" t="n">
        <f aca="false">SUM(R9:R70)</f>
        <v>4527252.5703581</v>
      </c>
      <c r="S71" s="27" t="n">
        <f aca="false">SUM(S9:S70)</f>
        <v>32946468.5572993</v>
      </c>
      <c r="T71" s="27" t="n">
        <f aca="false">SUM(T9:T70)</f>
        <v>3068614.75740408</v>
      </c>
      <c r="U71" s="27" t="n">
        <f aca="false">SUM(U9:U70)</f>
        <v>99325509.3541659</v>
      </c>
      <c r="V71" s="27" t="n">
        <f aca="false">SUM(V9:V70)</f>
        <v>49586471.1143368</v>
      </c>
      <c r="W71" s="27" t="n">
        <f aca="false">SUM(W9:W70)</f>
        <v>36.0596928206338</v>
      </c>
      <c r="X71" s="27" t="n">
        <f aca="false">SUM(X9:X70)</f>
        <v>27506753.7290305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4" min="2" style="1" width="18"/>
    <col collapsed="false" customWidth="true" hidden="false" outlineLevel="0" max="5" min="5" style="1" width="76"/>
  </cols>
  <sheetData>
    <row r="1" customFormat="false" ht="15.75" hidden="false" customHeight="true" outlineLevel="0" collapsed="false">
      <c r="A1" s="2" t="s">
        <v>209</v>
      </c>
    </row>
    <row r="2" customFormat="false" ht="15" hidden="false" customHeight="true" outlineLevel="0" collapsed="false">
      <c r="A2" s="3" t="s">
        <v>210</v>
      </c>
    </row>
    <row r="4" customFormat="false" ht="15" hidden="false" customHeight="true" outlineLevel="0" collapsed="false">
      <c r="A4" s="28" t="s">
        <v>50</v>
      </c>
      <c r="B4" s="28" t="s">
        <v>51</v>
      </c>
      <c r="C4" s="28" t="s">
        <v>52</v>
      </c>
      <c r="D4" s="28" t="s">
        <v>53</v>
      </c>
      <c r="E4" s="28" t="s">
        <v>211</v>
      </c>
    </row>
    <row r="5" customFormat="false" ht="15" hidden="false" customHeight="true" outlineLevel="0" collapsed="false">
      <c r="A5" s="9" t="s">
        <v>212</v>
      </c>
      <c r="B5" s="10"/>
      <c r="C5" s="10"/>
      <c r="D5" s="10"/>
      <c r="E5" s="10"/>
    </row>
    <row r="6" customFormat="false" ht="15" hidden="false" customHeight="true" outlineLevel="0" collapsed="false">
      <c r="A6" s="7" t="s">
        <v>62</v>
      </c>
      <c r="B6" s="29" t="n">
        <f aca="false">สมมติฐาน!B7</f>
        <v>22</v>
      </c>
      <c r="C6" s="29" t="n">
        <f aca="false">สมมติฐาน!C7</f>
        <v>25</v>
      </c>
      <c r="D6" s="29" t="n">
        <f aca="false">สมมติฐาน!D7</f>
        <v>24</v>
      </c>
    </row>
    <row r="7" customFormat="false" ht="15" hidden="false" customHeight="true" outlineLevel="0" collapsed="false">
      <c r="A7" s="7" t="s">
        <v>213</v>
      </c>
      <c r="B7" s="29" t="n">
        <f aca="false">สมมติฐาน!B10</f>
        <v>38</v>
      </c>
      <c r="C7" s="29" t="n">
        <f aca="false">สมมติฐาน!C10</f>
        <v>35</v>
      </c>
      <c r="D7" s="29" t="n">
        <f aca="false">สมมติฐาน!D10</f>
        <v>36</v>
      </c>
    </row>
    <row r="8" customFormat="false" ht="15" hidden="false" customHeight="true" outlineLevel="0" collapsed="false">
      <c r="A8" s="7" t="s">
        <v>67</v>
      </c>
      <c r="B8" s="29" t="n">
        <f aca="false">สมมติฐาน!B9</f>
        <v>78</v>
      </c>
      <c r="C8" s="29" t="n">
        <f aca="false">สมมติฐาน!C9</f>
        <v>82</v>
      </c>
      <c r="D8" s="29" t="n">
        <f aca="false">สมมติฐาน!D9</f>
        <v>85</v>
      </c>
    </row>
    <row r="9" customFormat="false" ht="15" hidden="false" customHeight="true" outlineLevel="0" collapsed="false">
      <c r="A9" s="7" t="s">
        <v>214</v>
      </c>
      <c r="B9" s="30" t="n">
        <f aca="false">สมมติฐาน!B14</f>
        <v>36000</v>
      </c>
      <c r="C9" s="30" t="n">
        <f aca="false">สมมติฐาน!C14</f>
        <v>52000</v>
      </c>
      <c r="D9" s="30" t="n">
        <f aca="false">สมมติฐาน!D14</f>
        <v>74000</v>
      </c>
    </row>
    <row r="10" customFormat="false" ht="15" hidden="false" customHeight="true" outlineLevel="0" collapsed="false">
      <c r="A10" s="7" t="s">
        <v>215</v>
      </c>
      <c r="B10" s="30" t="n">
        <f aca="false">1_ชั้นผู้น้อย!$AD$6</f>
        <v>47973.1762735855</v>
      </c>
      <c r="C10" s="30" t="n">
        <f aca="false">2_ระดับกลาง!$AD$6</f>
        <v>64658.9769889621</v>
      </c>
      <c r="D10" s="30" t="n">
        <f aca="false">3_ระดับสูง!$AD$6</f>
        <v>92988.3259819419</v>
      </c>
      <c r="E10" s="12" t="s">
        <v>216</v>
      </c>
    </row>
    <row r="12" customFormat="false" ht="15" hidden="false" customHeight="true" outlineLevel="0" collapsed="false">
      <c r="A12" s="9" t="s">
        <v>217</v>
      </c>
      <c r="B12" s="10"/>
      <c r="C12" s="10"/>
      <c r="D12" s="10"/>
      <c r="E12" s="10"/>
    </row>
    <row r="13" customFormat="false" ht="15" hidden="false" customHeight="true" outlineLevel="0" collapsed="false">
      <c r="A13" s="7" t="s">
        <v>218</v>
      </c>
      <c r="B13" s="30" t="n">
        <f aca="false">SUM(1_ชั้นผู้น้อย!G9:G65)</f>
        <v>16625423.7027371</v>
      </c>
      <c r="C13" s="30" t="n">
        <f aca="false">SUM(2_ระดับกลาง!G9:G66)</f>
        <v>20564828.129212</v>
      </c>
      <c r="D13" s="30" t="n">
        <f aca="false">SUM(3_ระดับสูง!G9:G70)</f>
        <v>28418286.2131624</v>
      </c>
      <c r="E13" s="12" t="s">
        <v>219</v>
      </c>
    </row>
    <row r="14" customFormat="false" ht="15" hidden="false" customHeight="true" outlineLevel="0" collapsed="false">
      <c r="A14" s="7" t="s">
        <v>220</v>
      </c>
      <c r="B14" s="30" t="n">
        <f aca="false">SUM(1_ชั้นผู้น้อย!H9:H65)</f>
        <v>0</v>
      </c>
      <c r="C14" s="30" t="n">
        <f aca="false">SUM(2_ระดับกลาง!H9:H66)</f>
        <v>2471806.91749734</v>
      </c>
      <c r="D14" s="30" t="n">
        <f aca="false">SUM(3_ระดับสูง!H9:H70)</f>
        <v>6676500.80576875</v>
      </c>
      <c r="E14" s="12" t="s">
        <v>221</v>
      </c>
    </row>
    <row r="15" customFormat="false" ht="15" hidden="false" customHeight="true" outlineLevel="0" collapsed="false">
      <c r="A15" s="7" t="s">
        <v>222</v>
      </c>
      <c r="B15" s="30" t="n">
        <f aca="false">SUM(1_ชั้นผู้น้อย!I9:I65)</f>
        <v>831271.185136854</v>
      </c>
      <c r="C15" s="30" t="n">
        <f aca="false">SUM(2_ระดับกลาง!I9:I66)</f>
        <v>1028241.4064606</v>
      </c>
      <c r="D15" s="30" t="n">
        <f aca="false">SUM(3_ระดับสูง!I9:I70)</f>
        <v>1420914.31065812</v>
      </c>
      <c r="E15" s="12" t="s">
        <v>223</v>
      </c>
    </row>
    <row r="16" customFormat="false" ht="15" hidden="false" customHeight="true" outlineLevel="0" collapsed="false">
      <c r="A16" s="7" t="s">
        <v>224</v>
      </c>
      <c r="B16" s="30" t="n">
        <f aca="false">SUM(1_ชั้นผู้น้อย!J9:J65)</f>
        <v>0</v>
      </c>
      <c r="C16" s="30" t="n">
        <f aca="false">SUM(2_ระดับกลาง!J9:J66)</f>
        <v>525586.607987417</v>
      </c>
      <c r="D16" s="30" t="n">
        <f aca="false">SUM(3_ระดับสูง!J9:J70)</f>
        <v>804725.383687636</v>
      </c>
      <c r="E16" s="12"/>
    </row>
    <row r="17" customFormat="false" ht="15" hidden="false" customHeight="true" outlineLevel="0" collapsed="false">
      <c r="A17" s="7" t="s">
        <v>225</v>
      </c>
      <c r="B17" s="30" t="n">
        <f aca="false">SUM(1_ชั้นผู้น้อย!K9:K65)</f>
        <v>248006.808511749</v>
      </c>
      <c r="C17" s="30" t="n">
        <f aca="false">SUM(2_ระดับกลาง!K9:K66)</f>
        <v>1229800.81703863</v>
      </c>
      <c r="D17" s="30" t="n">
        <f aca="false">SUM(3_ระดับสูง!K9:K70)</f>
        <v>1229800.81703863</v>
      </c>
      <c r="E17" s="12"/>
    </row>
    <row r="18" customFormat="false" ht="15" hidden="false" customHeight="true" outlineLevel="0" collapsed="false">
      <c r="A18" s="7" t="s">
        <v>226</v>
      </c>
      <c r="B18" s="30" t="n">
        <f aca="false">SUM(1_ชั้นผู้น้อย!L9:L65)</f>
        <v>498762.711082112</v>
      </c>
      <c r="C18" s="30" t="n">
        <f aca="false">SUM(2_ระดับกลาง!L9:L66)</f>
        <v>616944.843876361</v>
      </c>
      <c r="D18" s="30" t="n">
        <f aca="false">SUM(3_ระดับสูง!L9:L70)</f>
        <v>1136731.44852649</v>
      </c>
      <c r="E18" s="12" t="s">
        <v>227</v>
      </c>
    </row>
    <row r="19" customFormat="false" ht="15" hidden="false" customHeight="true" outlineLevel="0" collapsed="false">
      <c r="A19" s="7" t="s">
        <v>228</v>
      </c>
      <c r="B19" s="30" t="n">
        <f aca="false">SUMIF(1_ชั้นผู้น้อย!D9:D65,"รับราชการ",1_ชั้นผู้น้อย!P9:P65)</f>
        <v>993526.301058883</v>
      </c>
      <c r="C19" s="30" t="n">
        <f aca="false">SUMIF(2_ระดับกลาง!D9:D66,"รับราชการ",2_ระดับกลาง!P9:P66)</f>
        <v>1720078.07614797</v>
      </c>
      <c r="D19" s="30" t="n">
        <f aca="false">SUMIF(3_ระดับสูง!D9:D70,"รับราชการ",3_ระดับสูง!P9:P70)</f>
        <v>1805569.23042435</v>
      </c>
    </row>
    <row r="20" customFormat="false" ht="15" hidden="false" customHeight="true" outlineLevel="0" collapsed="false">
      <c r="A20" s="6" t="s">
        <v>229</v>
      </c>
      <c r="B20" s="27" t="n">
        <f aca="false">SUM(B13:B19)</f>
        <v>19196990.7085267</v>
      </c>
      <c r="C20" s="27" t="n">
        <f aca="false">SUM(C13:C19)</f>
        <v>28157286.7982204</v>
      </c>
      <c r="D20" s="27" t="n">
        <f aca="false">SUM(D13:D19)</f>
        <v>41492528.2092663</v>
      </c>
    </row>
    <row r="22" customFormat="false" ht="15" hidden="false" customHeight="true" outlineLevel="0" collapsed="false">
      <c r="A22" s="9" t="s">
        <v>230</v>
      </c>
      <c r="B22" s="10"/>
      <c r="C22" s="10"/>
      <c r="D22" s="10"/>
      <c r="E22" s="10"/>
    </row>
    <row r="23" customFormat="false" ht="15" hidden="false" customHeight="true" outlineLevel="0" collapsed="false">
      <c r="A23" s="7" t="s">
        <v>231</v>
      </c>
      <c r="B23" s="30" t="n">
        <f aca="false">SUM(1_ชั้นผู้น้อย!S47:S65)</f>
        <v>11980376.8364861</v>
      </c>
      <c r="C23" s="30" t="n">
        <f aca="false">SUM(2_ระดับกลาง!S44:S66)</f>
        <v>19953477.2229638</v>
      </c>
      <c r="D23" s="30" t="n">
        <f aca="false">SUM(3_ระดับสูง!S45:S70)</f>
        <v>32946468.5572993</v>
      </c>
      <c r="E23" s="12" t="s">
        <v>232</v>
      </c>
    </row>
    <row r="24" customFormat="false" ht="15" hidden="false" customHeight="true" outlineLevel="0" collapsed="false">
      <c r="A24" s="7" t="s">
        <v>233</v>
      </c>
      <c r="B24" s="30" t="n">
        <f aca="false">SUM(1_ชั้นผู้น้อย!T47:T65)</f>
        <v>1583114.81702832</v>
      </c>
      <c r="C24" s="30" t="n">
        <f aca="false">SUM(2_ระดับกลาง!T44:T66)</f>
        <v>2133746.24063575</v>
      </c>
      <c r="D24" s="30" t="n">
        <f aca="false">SUM(3_ระดับสูง!T45:T70)</f>
        <v>3068614.75740408</v>
      </c>
      <c r="E24" s="12" t="s">
        <v>234</v>
      </c>
    </row>
    <row r="25" customFormat="false" ht="15" hidden="false" customHeight="true" outlineLevel="0" collapsed="false">
      <c r="A25" s="7" t="s">
        <v>235</v>
      </c>
      <c r="B25" s="30" t="n">
        <f aca="false">SUMIF(1_ชั้นผู้น้อย!D9:D65,"รับบำนาญ",1_ชั้นผู้น้อย!P9:P65)</f>
        <v>4709552.64361059</v>
      </c>
      <c r="C25" s="30" t="n">
        <f aca="false">SUMIF(2_ระดับกลาง!D9:D66,"รับบำนาญ",2_ระดับกลาง!P9:P66)</f>
        <v>12437235.4699444</v>
      </c>
      <c r="D25" s="30" t="n">
        <f aca="false">SUMIF(3_ระดับสูง!D9:D70,"รับบำนาญ",3_ระดับสูง!P9:P70)</f>
        <v>16817185.0575379</v>
      </c>
      <c r="E25" s="12" t="s">
        <v>236</v>
      </c>
    </row>
    <row r="26" customFormat="false" ht="15" hidden="false" customHeight="true" outlineLevel="0" collapsed="false">
      <c r="A26" s="6" t="s">
        <v>237</v>
      </c>
      <c r="B26" s="27" t="n">
        <f aca="false">SUM(B23:B25)</f>
        <v>18273044.297125</v>
      </c>
      <c r="C26" s="27" t="n">
        <f aca="false">SUM(C23:C25)</f>
        <v>34524458.933544</v>
      </c>
      <c r="D26" s="27" t="n">
        <f aca="false">SUM(D23:D25)</f>
        <v>52832268.3722412</v>
      </c>
    </row>
    <row r="28" customFormat="false" ht="15" hidden="false" customHeight="true" outlineLevel="0" collapsed="false">
      <c r="A28" s="9" t="s">
        <v>238</v>
      </c>
      <c r="B28" s="10"/>
      <c r="C28" s="10"/>
      <c r="D28" s="10"/>
      <c r="E28" s="10"/>
    </row>
    <row r="29" customFormat="false" ht="15" hidden="false" customHeight="true" outlineLevel="0" collapsed="false">
      <c r="A29" s="3" t="s">
        <v>239</v>
      </c>
    </row>
    <row r="30" customFormat="false" ht="15" hidden="false" customHeight="true" outlineLevel="0" collapsed="false">
      <c r="A30" s="6" t="s">
        <v>240</v>
      </c>
    </row>
    <row r="31" customFormat="false" ht="15" hidden="false" customHeight="true" outlineLevel="0" collapsed="false">
      <c r="A31" s="7" t="s">
        <v>241</v>
      </c>
      <c r="B31" s="30" t="n">
        <f aca="false">SUMPRODUCT(1_ชั้นผู้น้อย!P9:P65/1_ชั้นผู้น้อย!M9:M65)</f>
        <v>1079000</v>
      </c>
      <c r="C31" s="30" t="n">
        <f aca="false">SUMPRODUCT(2_ระดับกลาง!P9:P66/2_ระดับกลาง!M9:M66)</f>
        <v>2560000</v>
      </c>
      <c r="D31" s="30" t="n">
        <f aca="false">SUMPRODUCT(3_ระดับสูง!P9:P70/3_ระดับสูง!M9:M70)</f>
        <v>2936000</v>
      </c>
      <c r="E31" s="12" t="s">
        <v>242</v>
      </c>
    </row>
    <row r="32" customFormat="false" ht="15" hidden="false" customHeight="true" outlineLevel="0" collapsed="false">
      <c r="A32" s="7" t="s">
        <v>243</v>
      </c>
      <c r="B32" s="30" t="n">
        <f aca="false">SUMPRODUCT(1_ชั้นผู้น้อย!Q9:Q65/1_ชั้นผู้น้อย!M9:M65)</f>
        <v>120000</v>
      </c>
      <c r="C32" s="30" t="n">
        <f aca="false">SUMPRODUCT(2_ระดับกลาง!Q9:Q66/2_ระดับกลาง!M9:M66)</f>
        <v>240000</v>
      </c>
      <c r="D32" s="30" t="n">
        <f aca="false">SUMPRODUCT(3_ระดับสูง!Q9:Q70/3_ระดับสูง!M9:M70)</f>
        <v>240000</v>
      </c>
      <c r="E32" s="12" t="s">
        <v>244</v>
      </c>
    </row>
    <row r="33" customFormat="false" ht="20.25" hidden="false" customHeight="true" outlineLevel="0" collapsed="false">
      <c r="A33" s="7" t="s">
        <v>245</v>
      </c>
      <c r="B33" s="30" t="n">
        <f aca="false">SUMPRODUCT(1_ชั้นผู้น้อย!R9:R65/1_ชั้นผู้น้อย!M9:M65)</f>
        <v>930000</v>
      </c>
      <c r="C33" s="30" t="n">
        <f aca="false">SUMPRODUCT(2_ระดับกลาง!R9:R66/2_ระดับกลาง!M9:M66)</f>
        <v>2016000</v>
      </c>
      <c r="D33" s="30" t="n">
        <f aca="false">SUMPRODUCT(3_ระดับสูง!R9:R70/3_ระดับสูง!M9:M70)</f>
        <v>2044000</v>
      </c>
      <c r="E33" s="12" t="s">
        <v>246</v>
      </c>
    </row>
    <row r="34" customFormat="false" ht="15" hidden="false" customHeight="true" outlineLevel="0" collapsed="false">
      <c r="A34" s="6" t="s">
        <v>247</v>
      </c>
      <c r="B34" s="27" t="n">
        <f aca="false">SUM(B31:B33)</f>
        <v>2129000</v>
      </c>
      <c r="C34" s="27" t="n">
        <f aca="false">SUM(C31:C33)</f>
        <v>4816000</v>
      </c>
      <c r="D34" s="27" t="n">
        <f aca="false">SUM(D31:D33)</f>
        <v>5220000</v>
      </c>
    </row>
    <row r="35" customFormat="false" ht="15" hidden="false" customHeight="true" outlineLevel="0" collapsed="false">
      <c r="A35" s="7" t="s">
        <v>248</v>
      </c>
      <c r="B35" s="15" t="n">
        <f aca="false">B33/B34</f>
        <v>0.436824800375763</v>
      </c>
      <c r="C35" s="15" t="n">
        <f aca="false">C33/C34</f>
        <v>0.418604651162791</v>
      </c>
      <c r="D35" s="15" t="n">
        <f aca="false">D33/D34</f>
        <v>0.391570881226054</v>
      </c>
      <c r="E35" s="12" t="s">
        <v>249</v>
      </c>
    </row>
    <row r="37" customFormat="false" ht="15" hidden="false" customHeight="true" outlineLevel="0" collapsed="false">
      <c r="A37" s="6" t="s">
        <v>250</v>
      </c>
    </row>
    <row r="38" customFormat="false" ht="15" hidden="false" customHeight="true" outlineLevel="0" collapsed="false">
      <c r="A38" s="7" t="s">
        <v>251</v>
      </c>
      <c r="B38" s="30" t="n">
        <f aca="false">SUM(1_ชั้นผู้น้อย!P9:P65)</f>
        <v>5703078.94466947</v>
      </c>
      <c r="C38" s="30" t="n">
        <f aca="false">SUM(2_ระดับกลาง!P9:P66)</f>
        <v>14157313.5460924</v>
      </c>
      <c r="D38" s="30" t="n">
        <f aca="false">SUM(3_ระดับสูง!P9:P70)</f>
        <v>18622754.2879622</v>
      </c>
    </row>
    <row r="39" customFormat="false" ht="15" hidden="false" customHeight="true" outlineLevel="0" collapsed="false">
      <c r="A39" s="7" t="s">
        <v>252</v>
      </c>
      <c r="B39" s="30" t="n">
        <f aca="false">SUM(1_ชั้นผู้น้อย!Q9:Q65)</f>
        <v>256244.274724933</v>
      </c>
      <c r="C39" s="30" t="n">
        <f aca="false">SUM(2_ระดับกลาง!Q9:Q66)</f>
        <v>473460.202300222</v>
      </c>
      <c r="D39" s="30" t="n">
        <f aca="false">SUM(3_ระดับสูง!Q9:Q70)</f>
        <v>473460.202300222</v>
      </c>
    </row>
    <row r="40" customFormat="false" ht="20.25" hidden="false" customHeight="true" outlineLevel="0" collapsed="false">
      <c r="A40" s="7" t="s">
        <v>253</v>
      </c>
      <c r="B40" s="30" t="n">
        <f aca="false">SUM(1_ชั้นผู้น้อย!R9:R65)</f>
        <v>2060882.8287696</v>
      </c>
      <c r="C40" s="30" t="n">
        <f aca="false">SUM(2_ระดับกลาง!R9:R66)</f>
        <v>4324541.10953297</v>
      </c>
      <c r="D40" s="30" t="n">
        <f aca="false">SUM(3_ระดับสูง!R9:R70)</f>
        <v>4527252.5703581</v>
      </c>
      <c r="E40" s="12" t="s">
        <v>254</v>
      </c>
    </row>
    <row r="41" customFormat="false" ht="15" hidden="false" customHeight="true" outlineLevel="0" collapsed="false">
      <c r="A41" s="6" t="s">
        <v>255</v>
      </c>
      <c r="B41" s="27" t="n">
        <f aca="false">SUM(B38:B40)</f>
        <v>8020206.04816401</v>
      </c>
      <c r="C41" s="27" t="n">
        <f aca="false">SUM(C38:C40)</f>
        <v>18955314.8579256</v>
      </c>
      <c r="D41" s="27" t="n">
        <f aca="false">SUM(D38:D40)</f>
        <v>23623467.0606205</v>
      </c>
    </row>
    <row r="42" customFormat="false" ht="15" hidden="false" customHeight="true" outlineLevel="0" collapsed="false">
      <c r="A42" s="7" t="s">
        <v>256</v>
      </c>
      <c r="B42" s="15" t="n">
        <f aca="false">B40/B45</f>
        <v>0.0517976834617177</v>
      </c>
      <c r="C42" s="15" t="n">
        <f aca="false">C40/C45</f>
        <v>0.0640865044550175</v>
      </c>
      <c r="D42" s="15" t="n">
        <f aca="false">D40/D45</f>
        <v>0.0455799582584091</v>
      </c>
      <c r="E42" s="12" t="s">
        <v>257</v>
      </c>
    </row>
    <row r="44" customFormat="false" ht="15" hidden="false" customHeight="true" outlineLevel="0" collapsed="false">
      <c r="A44" s="9" t="s">
        <v>258</v>
      </c>
      <c r="B44" s="10"/>
      <c r="C44" s="10"/>
      <c r="D44" s="10"/>
      <c r="E44" s="10"/>
    </row>
    <row r="45" customFormat="false" ht="15" hidden="false" customHeight="true" outlineLevel="0" collapsed="false">
      <c r="A45" s="6" t="s">
        <v>259</v>
      </c>
      <c r="B45" s="31" t="n">
        <f aca="false">SUM(1_ชั้นผู้น้อย!U9:U65)</f>
        <v>39787162.1091462</v>
      </c>
      <c r="C45" s="31" t="n">
        <f aca="false">SUM(2_ระดับกลาง!U9:U66)</f>
        <v>67479747.0435975</v>
      </c>
      <c r="D45" s="31" t="n">
        <f aca="false">SUM(3_ระดับสูง!U9:U70)</f>
        <v>99325509.3541659</v>
      </c>
      <c r="E45" s="12" t="s">
        <v>260</v>
      </c>
    </row>
    <row r="46" customFormat="false" ht="21.75" hidden="false" customHeight="true" outlineLevel="0" collapsed="false">
      <c r="A46" s="6" t="s">
        <v>261</v>
      </c>
      <c r="B46" s="31" t="n">
        <f aca="false">SUM(1_ชั้นผู้น้อย!V9:V65)</f>
        <v>20886765.2822292</v>
      </c>
      <c r="C46" s="31" t="n">
        <f aca="false">SUM(2_ระดับกลาง!V9:V66)</f>
        <v>35475234.5728851</v>
      </c>
      <c r="D46" s="31" t="n">
        <f aca="false">SUM(3_ระดับสูง!V9:V70)</f>
        <v>49586471.1143368</v>
      </c>
      <c r="E46" s="12" t="s">
        <v>262</v>
      </c>
    </row>
    <row r="47" customFormat="false" ht="20.25" hidden="false" customHeight="true" outlineLevel="0" collapsed="false">
      <c r="A47" s="6" t="s">
        <v>263</v>
      </c>
      <c r="B47" s="31" t="n">
        <f aca="false">SUM(1_ชั้นผู้น้อย!X9:X65)</f>
        <v>12017194.6593989</v>
      </c>
      <c r="C47" s="31" t="n">
        <f aca="false">SUM(2_ระดับกลาง!X9:X66)</f>
        <v>20549377.9127293</v>
      </c>
      <c r="D47" s="31" t="n">
        <f aca="false">SUM(3_ระดับสูง!X9:X70)</f>
        <v>27506753.7290305</v>
      </c>
      <c r="E47" s="12" t="s">
        <v>264</v>
      </c>
    </row>
    <row r="49" customFormat="false" ht="15" hidden="false" customHeight="true" outlineLevel="0" collapsed="false">
      <c r="A49" s="9" t="s">
        <v>265</v>
      </c>
      <c r="B49" s="10"/>
      <c r="C49" s="10"/>
      <c r="D49" s="10"/>
      <c r="E49" s="10"/>
    </row>
    <row r="50" customFormat="false" ht="15" hidden="false" customHeight="true" outlineLevel="0" collapsed="false">
      <c r="A50" s="7" t="s">
        <v>266</v>
      </c>
      <c r="B50" s="13" t="n">
        <v>40000000</v>
      </c>
      <c r="C50" s="13" t="n">
        <v>40000000</v>
      </c>
      <c r="D50" s="13" t="n">
        <v>40000000</v>
      </c>
      <c r="E50" s="12" t="s">
        <v>267</v>
      </c>
    </row>
    <row r="51" customFormat="false" ht="15" hidden="false" customHeight="true" outlineLevel="0" collapsed="false">
      <c r="A51" s="7" t="s">
        <v>268</v>
      </c>
      <c r="B51" s="14" t="n">
        <f aca="false">B45-B50</f>
        <v>-212837.890853807</v>
      </c>
      <c r="C51" s="14" t="n">
        <f aca="false">C45-C50</f>
        <v>27479747.0435975</v>
      </c>
      <c r="D51" s="14" t="n">
        <f aca="false">D45-D50</f>
        <v>59325509.3541659</v>
      </c>
    </row>
    <row r="52" customFormat="false" ht="15" hidden="false" customHeight="true" outlineLevel="0" collapsed="false">
      <c r="A52" s="7" t="s">
        <v>269</v>
      </c>
      <c r="B52" s="14" t="n">
        <f aca="false">B46-B50</f>
        <v>-19113234.7177708</v>
      </c>
      <c r="C52" s="14" t="n">
        <f aca="false">C46-C50</f>
        <v>-4524765.42711491</v>
      </c>
      <c r="D52" s="14" t="n">
        <f aca="false">D46-D50</f>
        <v>9586471.11433682</v>
      </c>
    </row>
    <row r="54" customFormat="false" ht="15" hidden="false" customHeight="true" outlineLevel="0" collapsed="false">
      <c r="A54" s="9" t="s">
        <v>270</v>
      </c>
      <c r="B54" s="10"/>
      <c r="C54" s="10"/>
      <c r="D54" s="10"/>
      <c r="E54" s="10"/>
    </row>
    <row r="55" customFormat="false" ht="15" hidden="false" customHeight="true" outlineLevel="0" collapsed="false">
      <c r="A55" s="7" t="s">
        <v>271</v>
      </c>
      <c r="B55" s="30" t="n">
        <f aca="false">สมมติฐาน!$B$54*1000000/สมมติฐาน!$B$55</f>
        <v>21200</v>
      </c>
      <c r="E55" s="12" t="s">
        <v>272</v>
      </c>
    </row>
    <row r="56" customFormat="false" ht="20.25" hidden="false" customHeight="true" outlineLevel="0" collapsed="false">
      <c r="A56" s="7" t="s">
        <v>273</v>
      </c>
      <c r="B56" s="30" t="n">
        <f aca="false">SUMPRODUCT((1_ชั้นผู้น้อย!P9:P65+1_ชั้นผู้น้อย!Q9:Q65+1_ชั้นผู้น้อย!R9:R65)/1_ชั้นผู้น้อย!M9:M65)/57</f>
        <v>37350.8771929825</v>
      </c>
      <c r="C56" s="30" t="n">
        <f aca="false">SUMPRODUCT((2_ระดับกลาง!P9:P66+2_ระดับกลาง!Q9:Q66+2_ระดับกลาง!R9:R66)/2_ระดับกลาง!M9:M66)/58</f>
        <v>83034.4827586207</v>
      </c>
      <c r="D56" s="30" t="n">
        <f aca="false">SUMPRODUCT((3_ระดับสูง!P9:P70+3_ระดับสูง!Q9:Q70+3_ระดับสูง!R9:R70)/3_ระดับสูง!M9:M70)/62</f>
        <v>84193.5483870968</v>
      </c>
      <c r="E56" s="12" t="s">
        <v>274</v>
      </c>
    </row>
    <row r="58" customFormat="false" ht="15" hidden="false" customHeight="true" outlineLevel="0" collapsed="false">
      <c r="A58" s="9" t="s">
        <v>275</v>
      </c>
      <c r="B58" s="10"/>
      <c r="C58" s="10"/>
      <c r="D58" s="10"/>
      <c r="E58" s="10"/>
    </row>
    <row r="59" customFormat="false" ht="15" hidden="false" customHeight="true" outlineLevel="0" collapsed="false">
      <c r="A59" s="3" t="s">
        <v>276</v>
      </c>
      <c r="B59" s="32" t="s">
        <v>277</v>
      </c>
      <c r="C59" s="32" t="s">
        <v>278</v>
      </c>
    </row>
    <row r="60" customFormat="false" ht="15" hidden="false" customHeight="true" outlineLevel="0" collapsed="false">
      <c r="A60" s="7" t="s">
        <v>279</v>
      </c>
      <c r="B60" s="33" t="n">
        <f aca="false">C45*สมมติฐาน!$B$52/1000000000000</f>
        <v>114.715569974116</v>
      </c>
      <c r="C60" s="33" t="n">
        <f aca="false">C46*สมมติฐาน!$B$52/1000000000000</f>
        <v>60.3078987739047</v>
      </c>
      <c r="E60" s="12" t="s">
        <v>280</v>
      </c>
    </row>
    <row r="61" customFormat="false" ht="21.75" hidden="false" customHeight="true" outlineLevel="0" collapsed="false">
      <c r="A61" s="7" t="s">
        <v>281</v>
      </c>
      <c r="B61" s="33" t="n">
        <f aca="false">B60/60</f>
        <v>1.91192616623526</v>
      </c>
      <c r="C61" s="33" t="n">
        <f aca="false">C60/60</f>
        <v>1.00513164623174</v>
      </c>
      <c r="E61" s="12" t="s">
        <v>282</v>
      </c>
    </row>
    <row r="63" customFormat="false" ht="15" hidden="false" customHeight="true" outlineLevel="0" collapsed="false">
      <c r="A63" s="9" t="s">
        <v>283</v>
      </c>
      <c r="B63" s="10"/>
      <c r="C63" s="10"/>
      <c r="D63" s="10"/>
      <c r="E63" s="10"/>
    </row>
    <row r="64" customFormat="false" ht="15" hidden="false" customHeight="true" outlineLevel="0" collapsed="false">
      <c r="A64" s="3" t="s">
        <v>284</v>
      </c>
    </row>
    <row r="65" customFormat="false" ht="15" hidden="false" customHeight="true" outlineLevel="0" collapsed="false">
      <c r="A65" s="32" t="s">
        <v>285</v>
      </c>
      <c r="B65" s="32" t="s">
        <v>277</v>
      </c>
      <c r="C65" s="32" t="s">
        <v>278</v>
      </c>
    </row>
    <row r="66" customFormat="false" ht="15" hidden="false" customHeight="false" outlineLevel="0" collapsed="false">
      <c r="A66" s="34" t="n">
        <v>0</v>
      </c>
      <c r="B66" s="35" t="n">
        <v>38392526</v>
      </c>
      <c r="C66" s="35" t="n">
        <v>38392526</v>
      </c>
    </row>
    <row r="67" customFormat="false" ht="15" hidden="false" customHeight="false" outlineLevel="0" collapsed="false">
      <c r="A67" s="34" t="n">
        <v>0.01</v>
      </c>
      <c r="B67" s="35" t="n">
        <v>50587703</v>
      </c>
      <c r="C67" s="35" t="n">
        <v>36811984</v>
      </c>
    </row>
    <row r="68" customFormat="false" ht="15" hidden="false" customHeight="false" outlineLevel="0" collapsed="false">
      <c r="A68" s="36" t="n">
        <v>0.02</v>
      </c>
      <c r="B68" s="37" t="n">
        <v>67479747</v>
      </c>
      <c r="C68" s="37" t="n">
        <v>35475235</v>
      </c>
    </row>
    <row r="69" customFormat="false" ht="15" hidden="false" customHeight="false" outlineLevel="0" collapsed="false">
      <c r="A69" s="34" t="n">
        <v>0.03</v>
      </c>
      <c r="B69" s="35" t="n">
        <v>91099760</v>
      </c>
      <c r="C69" s="35" t="n">
        <v>34350173</v>
      </c>
    </row>
    <row r="70" customFormat="false" ht="15" hidden="false" customHeight="false" outlineLevel="0" collapsed="false">
      <c r="A70" s="38" t="s">
        <v>286</v>
      </c>
    </row>
    <row r="72" customFormat="false" ht="15" hidden="false" customHeight="false" outlineLevel="0" collapsed="false">
      <c r="A72" s="39" t="s">
        <v>287</v>
      </c>
    </row>
    <row r="73" customFormat="false" ht="12.65" hidden="false" customHeight="false" outlineLevel="0" collapsed="false">
      <c r="A73" s="40" t="s">
        <v>288</v>
      </c>
      <c r="B73" s="40"/>
      <c r="C73" s="40"/>
      <c r="D73" s="40"/>
      <c r="E73" s="40"/>
    </row>
    <row r="74" customFormat="false" ht="12.65" hidden="false" customHeight="false" outlineLevel="0" collapsed="false">
      <c r="A74" s="40" t="s">
        <v>289</v>
      </c>
      <c r="B74" s="40"/>
      <c r="C74" s="40"/>
      <c r="D74" s="40"/>
      <c r="E74" s="40"/>
    </row>
    <row r="75" customFormat="false" ht="12.65" hidden="false" customHeight="false" outlineLevel="0" collapsed="false">
      <c r="A75" s="40" t="s">
        <v>290</v>
      </c>
      <c r="B75" s="40"/>
      <c r="C75" s="40"/>
      <c r="D75" s="40"/>
      <c r="E75" s="40"/>
    </row>
    <row r="76" customFormat="false" ht="12.65" hidden="false" customHeight="false" outlineLevel="0" collapsed="false">
      <c r="A76" s="40" t="s">
        <v>291</v>
      </c>
      <c r="B76" s="40"/>
      <c r="C76" s="40"/>
      <c r="D76" s="40"/>
      <c r="E76" s="40"/>
    </row>
    <row r="77" customFormat="false" ht="12.65" hidden="false" customHeight="false" outlineLevel="0" collapsed="false">
      <c r="A77" s="40" t="s">
        <v>292</v>
      </c>
      <c r="B77" s="40"/>
      <c r="C77" s="40"/>
      <c r="D77" s="40"/>
      <c r="E77" s="40"/>
    </row>
    <row r="78" customFormat="false" ht="12.65" hidden="false" customHeight="false" outlineLevel="0" collapsed="false">
      <c r="A78" s="40" t="s">
        <v>293</v>
      </c>
      <c r="B78" s="40"/>
      <c r="C78" s="40"/>
      <c r="D78" s="40"/>
      <c r="E78" s="40"/>
    </row>
    <row r="79" customFormat="false" ht="12.65" hidden="false" customHeight="false" outlineLevel="0" collapsed="false">
      <c r="A79" s="40" t="s">
        <v>294</v>
      </c>
      <c r="B79" s="40"/>
      <c r="C79" s="40"/>
      <c r="D79" s="40"/>
      <c r="E79" s="40"/>
    </row>
  </sheetData>
  <mergeCells count="7">
    <mergeCell ref="A73:E73"/>
    <mergeCell ref="A74:E74"/>
    <mergeCell ref="A75:E75"/>
    <mergeCell ref="A76:E76"/>
    <mergeCell ref="A77:E77"/>
    <mergeCell ref="A78:E78"/>
    <mergeCell ref="A79:E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62"/>
    <col collapsed="false" customWidth="true" hidden="false" outlineLevel="0" max="3" min="3" style="1" width="52"/>
    <col collapsed="false" customWidth="true" hidden="false" outlineLevel="0" max="4" min="4" style="1" width="48"/>
  </cols>
  <sheetData>
    <row r="1" customFormat="false" ht="15.75" hidden="false" customHeight="true" outlineLevel="0" collapsed="false">
      <c r="A1" s="2" t="s">
        <v>17</v>
      </c>
    </row>
    <row r="3" customFormat="false" ht="15" hidden="false" customHeight="true" outlineLevel="0" collapsed="false">
      <c r="A3" s="32" t="s">
        <v>295</v>
      </c>
      <c r="B3" s="32" t="s">
        <v>296</v>
      </c>
      <c r="C3" s="32" t="s">
        <v>297</v>
      </c>
      <c r="D3" s="32" t="s">
        <v>298</v>
      </c>
    </row>
    <row r="4" customFormat="false" ht="23.25" hidden="false" customHeight="true" outlineLevel="0" collapsed="false">
      <c r="A4" s="41" t="s">
        <v>299</v>
      </c>
      <c r="B4" s="41" t="s">
        <v>300</v>
      </c>
      <c r="C4" s="41" t="s">
        <v>301</v>
      </c>
      <c r="D4" s="42" t="s">
        <v>302</v>
      </c>
    </row>
    <row r="5" customFormat="false" ht="15" hidden="false" customHeight="true" outlineLevel="0" collapsed="false">
      <c r="A5" s="41" t="s">
        <v>303</v>
      </c>
      <c r="B5" s="41" t="s">
        <v>304</v>
      </c>
      <c r="C5" s="41" t="s">
        <v>305</v>
      </c>
      <c r="D5" s="42" t="s">
        <v>306</v>
      </c>
    </row>
    <row r="6" customFormat="false" ht="15" hidden="false" customHeight="true" outlineLevel="0" collapsed="false">
      <c r="A6" s="41" t="s">
        <v>307</v>
      </c>
      <c r="B6" s="41" t="s">
        <v>308</v>
      </c>
      <c r="C6" s="41" t="s">
        <v>153</v>
      </c>
      <c r="D6" s="42" t="s">
        <v>309</v>
      </c>
    </row>
    <row r="7" customFormat="false" ht="23.25" hidden="false" customHeight="true" outlineLevel="0" collapsed="false">
      <c r="A7" s="41" t="s">
        <v>310</v>
      </c>
      <c r="B7" s="41" t="s">
        <v>311</v>
      </c>
      <c r="C7" s="41" t="s">
        <v>312</v>
      </c>
      <c r="D7" s="42" t="s">
        <v>313</v>
      </c>
    </row>
    <row r="8" customFormat="false" ht="15" hidden="false" customHeight="true" outlineLevel="0" collapsed="false">
      <c r="A8" s="41" t="s">
        <v>314</v>
      </c>
      <c r="B8" s="41" t="s">
        <v>315</v>
      </c>
      <c r="C8" s="41" t="s">
        <v>316</v>
      </c>
      <c r="D8" s="42" t="s">
        <v>317</v>
      </c>
    </row>
    <row r="9" customFormat="false" ht="15" hidden="false" customHeight="true" outlineLevel="0" collapsed="false">
      <c r="A9" s="41" t="s">
        <v>318</v>
      </c>
      <c r="B9" s="41" t="s">
        <v>319</v>
      </c>
      <c r="C9" s="41" t="s">
        <v>320</v>
      </c>
      <c r="D9" s="42" t="s">
        <v>313</v>
      </c>
    </row>
    <row r="10" customFormat="false" ht="15" hidden="false" customHeight="true" outlineLevel="0" collapsed="false">
      <c r="A10" s="41" t="s">
        <v>321</v>
      </c>
      <c r="B10" s="41" t="s">
        <v>322</v>
      </c>
      <c r="C10" s="41" t="s">
        <v>323</v>
      </c>
      <c r="D10" s="42" t="s">
        <v>324</v>
      </c>
    </row>
    <row r="11" customFormat="false" ht="23.25" hidden="false" customHeight="true" outlineLevel="0" collapsed="false">
      <c r="A11" s="41" t="s">
        <v>325</v>
      </c>
      <c r="B11" s="41" t="s">
        <v>326</v>
      </c>
      <c r="C11" s="41" t="s">
        <v>327</v>
      </c>
      <c r="D11" s="42" t="s">
        <v>324</v>
      </c>
    </row>
    <row r="12" customFormat="false" ht="15" hidden="false" customHeight="true" outlineLevel="0" collapsed="false">
      <c r="A12" s="41" t="s">
        <v>328</v>
      </c>
      <c r="B12" s="41" t="s">
        <v>329</v>
      </c>
      <c r="C12" s="41" t="s">
        <v>330</v>
      </c>
      <c r="D12" s="42" t="s">
        <v>331</v>
      </c>
    </row>
    <row r="13" customFormat="false" ht="23.25" hidden="false" customHeight="true" outlineLevel="0" collapsed="false">
      <c r="A13" s="41" t="s">
        <v>332</v>
      </c>
      <c r="B13" s="41" t="s">
        <v>333</v>
      </c>
      <c r="C13" s="41" t="s">
        <v>334</v>
      </c>
      <c r="D13" s="42" t="s">
        <v>331</v>
      </c>
    </row>
    <row r="14" customFormat="false" ht="15" hidden="false" customHeight="true" outlineLevel="0" collapsed="false">
      <c r="A14" s="41" t="s">
        <v>335</v>
      </c>
      <c r="B14" s="41" t="s">
        <v>336</v>
      </c>
      <c r="C14" s="41" t="s">
        <v>337</v>
      </c>
      <c r="D14" s="42" t="s">
        <v>338</v>
      </c>
    </row>
    <row r="15" customFormat="false" ht="15" hidden="false" customHeight="true" outlineLevel="0" collapsed="false">
      <c r="A15" s="41" t="s">
        <v>339</v>
      </c>
      <c r="B15" s="41" t="s">
        <v>340</v>
      </c>
      <c r="C15" s="41" t="s">
        <v>341</v>
      </c>
      <c r="D15" s="42" t="s">
        <v>342</v>
      </c>
    </row>
    <row r="16" customFormat="false" ht="21.75" hidden="false" customHeight="true" outlineLevel="0" collapsed="false">
      <c r="A16" s="41" t="s">
        <v>343</v>
      </c>
      <c r="B16" s="41" t="s">
        <v>344</v>
      </c>
      <c r="C16" s="41" t="s">
        <v>345</v>
      </c>
      <c r="D16" s="41"/>
    </row>
  </sheetData>
  <hyperlinks>
    <hyperlink ref="D4" r:id="rId1" display="https://www.prachachat.net/politics/news-2062371"/>
    <hyperlink ref="D5" r:id="rId2" display="https://web.parliament.go.th/assets/portals/82/news/1713/1_1713.pdf"/>
    <hyperlink ref="D6" r:id="rId3" display="https://www.prd.go.th/th/content/category/detail/id/39/iid/390710"/>
    <hyperlink ref="D7" r:id="rId4" display="https://themomentum.co/feature-civil-medical-welfare/"/>
    <hyperlink ref="D8" r:id="rId5" display="https://www.hfocus.org/content/2026/08/39274"/>
    <hyperlink ref="D9" r:id="rId6" display="https://themomentum.co/feature-civil-medical-welfare/"/>
    <hyperlink ref="D10" r:id="rId7" display="https://www.ocsc.go.th"/>
    <hyperlink ref="D11" r:id="rId8" display="https://www.ocsc.go.th"/>
    <hyperlink ref="D12" r:id="rId9" display="https://www.cgd.go.th"/>
    <hyperlink ref="D13" r:id="rId10" display="https://www.cgd.go.th"/>
    <hyperlink ref="D14" r:id="rId11" display="https://newperson.doae.go.th/wp-content/uploads/2025/10/formula04.pdf"/>
    <hyperlink ref="D15" r:id="rId12" display="https://www.gpf.or.t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2026-09-07T11:40:10Z</dcterms:created>
  <dc:creator>openpyxl</dc:creator>
  <dc:description/>
  <dc:language>en-US</dc:language>
  <cp:lastModifiedBy/>
  <dcterms:modified xsi:type="dcterms:W3CDTF">2026-09-07T11:40:49Z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